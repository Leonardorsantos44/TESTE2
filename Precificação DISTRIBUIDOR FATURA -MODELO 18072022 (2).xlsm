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updateLinks="never"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onardoSantos\Desktop\"/>
    </mc:Choice>
  </mc:AlternateContent>
  <xr:revisionPtr revIDLastSave="0" documentId="13_ncr:1_{8595E92A-0E81-457C-8D14-51F98BF6471E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Produtos" sheetId="1" r:id="rId1"/>
    <sheet name="Dados" sheetId="4" r:id="rId2"/>
    <sheet name="Formação de preços " sheetId="5" r:id="rId3"/>
  </sheets>
  <externalReferences>
    <externalReference r:id="rId4"/>
  </externalReferences>
  <definedNames>
    <definedName name="_xlnm.Print_Area" localSheetId="0">Produtos!$A$1:$L$185</definedName>
    <definedName name="Lista">Tabela2[#All]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7" i="1" l="1"/>
  <c r="H62" i="1"/>
  <c r="H102" i="1"/>
  <c r="F102" i="1"/>
  <c r="D112" i="1" s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87" i="1"/>
  <c r="G101" i="1" l="1"/>
  <c r="I101" i="1" s="1"/>
  <c r="AI88" i="1"/>
  <c r="G88" i="1" s="1"/>
  <c r="AI89" i="1"/>
  <c r="G89" i="1" s="1"/>
  <c r="I89" i="1" s="1"/>
  <c r="AI90" i="1"/>
  <c r="G90" i="1" s="1"/>
  <c r="I90" i="1" s="1"/>
  <c r="AI91" i="1"/>
  <c r="G91" i="1" s="1"/>
  <c r="I91" i="1" s="1"/>
  <c r="AI92" i="1"/>
  <c r="G92" i="1" s="1"/>
  <c r="I92" i="1" s="1"/>
  <c r="AI93" i="1"/>
  <c r="G93" i="1" s="1"/>
  <c r="I93" i="1" s="1"/>
  <c r="AI94" i="1"/>
  <c r="G94" i="1" s="1"/>
  <c r="I94" i="1" s="1"/>
  <c r="AI95" i="1"/>
  <c r="G95" i="1" s="1"/>
  <c r="I95" i="1" s="1"/>
  <c r="AI96" i="1"/>
  <c r="G96" i="1" s="1"/>
  <c r="I96" i="1" s="1"/>
  <c r="AI97" i="1"/>
  <c r="G97" i="1" s="1"/>
  <c r="I97" i="1" s="1"/>
  <c r="AI98" i="1"/>
  <c r="G98" i="1" s="1"/>
  <c r="I98" i="1" s="1"/>
  <c r="AI99" i="1"/>
  <c r="G99" i="1" s="1"/>
  <c r="I99" i="1" s="1"/>
  <c r="AI100" i="1"/>
  <c r="G100" i="1" s="1"/>
  <c r="I100" i="1" s="1"/>
  <c r="AI101" i="1"/>
  <c r="AI87" i="1"/>
  <c r="G87" i="1" s="1"/>
  <c r="I87" i="1" s="1"/>
  <c r="I88" i="1" l="1"/>
  <c r="G102" i="1"/>
  <c r="D116" i="1" s="1"/>
  <c r="J102" i="1"/>
  <c r="D108" i="1" s="1"/>
  <c r="F81" i="5"/>
  <c r="G81" i="5"/>
  <c r="F80" i="5"/>
  <c r="G80" i="5" s="1"/>
  <c r="F79" i="5"/>
  <c r="G79" i="5"/>
  <c r="F78" i="5"/>
  <c r="G78" i="5" s="1"/>
  <c r="F77" i="5"/>
  <c r="G77" i="5" s="1"/>
  <c r="F76" i="5"/>
  <c r="G76" i="5" s="1"/>
  <c r="F75" i="5"/>
  <c r="G75" i="5" s="1"/>
  <c r="F74" i="5"/>
  <c r="G74" i="5" s="1"/>
  <c r="F73" i="5"/>
  <c r="G73" i="5" s="1"/>
  <c r="F72" i="5"/>
  <c r="G72" i="5" s="1"/>
  <c r="F71" i="5"/>
  <c r="G71" i="5" s="1"/>
  <c r="F70" i="5"/>
  <c r="G70" i="5" s="1"/>
  <c r="F69" i="5"/>
  <c r="G69" i="5" s="1"/>
  <c r="F68" i="5"/>
  <c r="G68" i="5" s="1"/>
  <c r="F67" i="5"/>
  <c r="G67" i="5" s="1"/>
  <c r="F66" i="5"/>
  <c r="G66" i="5" s="1"/>
  <c r="F65" i="5"/>
  <c r="G65" i="5" s="1"/>
  <c r="F64" i="5"/>
  <c r="G64" i="5" s="1"/>
  <c r="F63" i="5"/>
  <c r="G63" i="5" s="1"/>
  <c r="F62" i="5"/>
  <c r="G62" i="5" s="1"/>
  <c r="F61" i="5"/>
  <c r="G61" i="5" s="1"/>
  <c r="F60" i="5"/>
  <c r="G60" i="5" s="1"/>
  <c r="F59" i="5"/>
  <c r="G59" i="5" s="1"/>
  <c r="F58" i="5"/>
  <c r="G58" i="5" s="1"/>
  <c r="P39" i="4"/>
  <c r="P38" i="4"/>
  <c r="F141" i="1"/>
  <c r="D146" i="1" s="1"/>
  <c r="D150" i="1"/>
  <c r="I141" i="1"/>
  <c r="E150" i="1" s="1"/>
  <c r="K140" i="1"/>
  <c r="G140" i="1"/>
  <c r="D140" i="1"/>
  <c r="E140" i="1" s="1"/>
  <c r="K139" i="1"/>
  <c r="G139" i="1"/>
  <c r="D139" i="1"/>
  <c r="E139" i="1" s="1"/>
  <c r="K138" i="1"/>
  <c r="G138" i="1"/>
  <c r="D138" i="1"/>
  <c r="E138" i="1" s="1"/>
  <c r="K137" i="1"/>
  <c r="G137" i="1"/>
  <c r="D137" i="1"/>
  <c r="E137" i="1" s="1"/>
  <c r="K136" i="1"/>
  <c r="G136" i="1"/>
  <c r="D136" i="1"/>
  <c r="E136" i="1" s="1"/>
  <c r="K135" i="1"/>
  <c r="G135" i="1"/>
  <c r="D135" i="1"/>
  <c r="K134" i="1"/>
  <c r="G134" i="1"/>
  <c r="D134" i="1"/>
  <c r="E134" i="1" s="1"/>
  <c r="K133" i="1"/>
  <c r="G133" i="1"/>
  <c r="D133" i="1"/>
  <c r="K132" i="1"/>
  <c r="G132" i="1"/>
  <c r="D132" i="1"/>
  <c r="E132" i="1" s="1"/>
  <c r="K131" i="1"/>
  <c r="G131" i="1"/>
  <c r="D131" i="1"/>
  <c r="E131" i="1" s="1"/>
  <c r="H101" i="4"/>
  <c r="J101" i="4" s="1"/>
  <c r="H100" i="4"/>
  <c r="J100" i="4" s="1"/>
  <c r="H99" i="4"/>
  <c r="J99" i="4" s="1"/>
  <c r="P93" i="4"/>
  <c r="P92" i="4"/>
  <c r="P91" i="4"/>
  <c r="P90" i="4"/>
  <c r="P89" i="4"/>
  <c r="P88" i="4"/>
  <c r="P84" i="4"/>
  <c r="P83" i="4"/>
  <c r="P82" i="4"/>
  <c r="P80" i="4"/>
  <c r="P79" i="4"/>
  <c r="P77" i="4"/>
  <c r="P76" i="4"/>
  <c r="P75" i="4"/>
  <c r="P74" i="4"/>
  <c r="P73" i="4"/>
  <c r="P66" i="4"/>
  <c r="P65" i="4"/>
  <c r="P64" i="4"/>
  <c r="P63" i="4"/>
  <c r="P62" i="4"/>
  <c r="P61" i="4"/>
  <c r="P57" i="4"/>
  <c r="P56" i="4"/>
  <c r="P55" i="4"/>
  <c r="P53" i="4"/>
  <c r="P52" i="4"/>
  <c r="P50" i="4"/>
  <c r="P49" i="4"/>
  <c r="P48" i="4"/>
  <c r="P47" i="4"/>
  <c r="P46" i="4"/>
  <c r="D148" i="1" l="1"/>
  <c r="D160" i="1" s="1"/>
  <c r="D114" i="1"/>
  <c r="D110" i="1"/>
  <c r="D122" i="1" s="1"/>
  <c r="K176" i="1" s="1"/>
  <c r="N67" i="4"/>
  <c r="N94" i="4"/>
  <c r="H137" i="1"/>
  <c r="H139" i="1"/>
  <c r="N58" i="4"/>
  <c r="N85" i="4"/>
  <c r="N99" i="4" s="1"/>
  <c r="H133" i="1"/>
  <c r="H135" i="1"/>
  <c r="E133" i="1"/>
  <c r="E135" i="1"/>
  <c r="H131" i="1"/>
  <c r="K141" i="1"/>
  <c r="E146" i="1" s="1"/>
  <c r="H132" i="1"/>
  <c r="H134" i="1"/>
  <c r="H136" i="1"/>
  <c r="H138" i="1"/>
  <c r="H140" i="1"/>
  <c r="G50" i="1"/>
  <c r="G51" i="1"/>
  <c r="G52" i="1"/>
  <c r="D158" i="1" l="1"/>
  <c r="D162" i="1"/>
  <c r="D118" i="1"/>
  <c r="K172" i="1" s="1"/>
  <c r="D120" i="1"/>
  <c r="K174" i="1" s="1"/>
  <c r="D156" i="1"/>
  <c r="L101" i="4"/>
  <c r="L99" i="4"/>
  <c r="L100" i="4"/>
  <c r="E154" i="1"/>
  <c r="E141" i="1"/>
  <c r="D154" i="1" s="1"/>
  <c r="K7" i="1"/>
  <c r="B14" i="1" l="1"/>
  <c r="F57" i="5" l="1"/>
  <c r="G57" i="5" s="1"/>
  <c r="F56" i="5"/>
  <c r="G56" i="5" s="1"/>
  <c r="F55" i="5"/>
  <c r="G55" i="5" s="1"/>
  <c r="F54" i="5"/>
  <c r="G54" i="5" s="1"/>
  <c r="F53" i="5"/>
  <c r="G53" i="5" s="1"/>
  <c r="F52" i="5"/>
  <c r="G52" i="5" s="1"/>
  <c r="F51" i="5"/>
  <c r="G51" i="5" s="1"/>
  <c r="F50" i="5"/>
  <c r="G50" i="5" s="1"/>
  <c r="F49" i="5"/>
  <c r="G49" i="5" s="1"/>
  <c r="F48" i="5"/>
  <c r="G48" i="5" s="1"/>
  <c r="F47" i="5"/>
  <c r="G47" i="5" s="1"/>
  <c r="F46" i="5" l="1"/>
  <c r="G46" i="5" s="1"/>
  <c r="D102" i="1" l="1"/>
  <c r="E15" i="5" l="1"/>
  <c r="D15" i="5"/>
  <c r="A15" i="5"/>
  <c r="F14" i="5"/>
  <c r="G14" i="5" s="1"/>
  <c r="F13" i="5"/>
  <c r="G13" i="5" s="1"/>
  <c r="F12" i="5"/>
  <c r="G12" i="5" s="1"/>
  <c r="F15" i="5" l="1"/>
  <c r="D21" i="5" s="1"/>
  <c r="G15" i="5"/>
  <c r="D29" i="5" s="1"/>
  <c r="F22" i="1"/>
  <c r="J62" i="1"/>
  <c r="D23" i="5" l="1"/>
  <c r="C25" i="5"/>
  <c r="C29" i="5"/>
  <c r="D14" i="1"/>
  <c r="X246" i="1"/>
  <c r="W220" i="1" l="1"/>
  <c r="W221" i="1"/>
  <c r="W222" i="1"/>
  <c r="W223" i="1"/>
  <c r="W224" i="1"/>
  <c r="W225" i="1"/>
  <c r="W226" i="1"/>
  <c r="W219" i="1"/>
  <c r="U222" i="1"/>
  <c r="U224" i="1"/>
  <c r="U226" i="1"/>
  <c r="U220" i="1"/>
  <c r="T222" i="1"/>
  <c r="T224" i="1"/>
  <c r="T226" i="1"/>
  <c r="T220" i="1"/>
  <c r="S222" i="1"/>
  <c r="S224" i="1"/>
  <c r="S226" i="1"/>
  <c r="S220" i="1"/>
  <c r="R222" i="1"/>
  <c r="R224" i="1"/>
  <c r="R226" i="1"/>
  <c r="R220" i="1"/>
  <c r="U221" i="1"/>
  <c r="U223" i="1"/>
  <c r="U225" i="1"/>
  <c r="U219" i="1"/>
  <c r="T221" i="1"/>
  <c r="T223" i="1"/>
  <c r="T225" i="1"/>
  <c r="T219" i="1"/>
  <c r="S221" i="1"/>
  <c r="S223" i="1"/>
  <c r="S225" i="1"/>
  <c r="S219" i="1"/>
  <c r="R221" i="1"/>
  <c r="R223" i="1"/>
  <c r="W242" i="1" s="1"/>
  <c r="R225" i="1"/>
  <c r="W243" i="1" s="1"/>
  <c r="R219" i="1"/>
  <c r="Q222" i="1"/>
  <c r="V222" i="1" s="1"/>
  <c r="Q224" i="1"/>
  <c r="Q226" i="1"/>
  <c r="Q220" i="1"/>
  <c r="Q221" i="1"/>
  <c r="V221" i="1" s="1"/>
  <c r="Q223" i="1"/>
  <c r="V223" i="1" s="1"/>
  <c r="Q225" i="1"/>
  <c r="V225" i="1" s="1"/>
  <c r="Q219" i="1"/>
  <c r="F11" i="1"/>
  <c r="I11" i="1" s="1"/>
  <c r="H11" i="1" s="1"/>
  <c r="F12" i="1"/>
  <c r="I12" i="1" s="1"/>
  <c r="H12" i="1" s="1"/>
  <c r="F13" i="1"/>
  <c r="I13" i="1" s="1"/>
  <c r="H13" i="1" s="1"/>
  <c r="F10" i="1"/>
  <c r="I10" i="1" s="1"/>
  <c r="G14" i="1"/>
  <c r="H10" i="1" l="1"/>
  <c r="C22" i="1"/>
  <c r="W240" i="1"/>
  <c r="V219" i="1"/>
  <c r="W241" i="1"/>
  <c r="X241" i="1" s="1"/>
  <c r="V226" i="1"/>
  <c r="X226" i="1" s="1"/>
  <c r="V224" i="1"/>
  <c r="X224" i="1" s="1"/>
  <c r="Y224" i="1" s="1"/>
  <c r="V220" i="1"/>
  <c r="X220" i="1" s="1"/>
  <c r="Z220" i="1" s="1"/>
  <c r="X223" i="1"/>
  <c r="Y223" i="1" s="1"/>
  <c r="X222" i="1"/>
  <c r="Z222" i="1" s="1"/>
  <c r="X242" i="1"/>
  <c r="Y242" i="1"/>
  <c r="L12" i="1" s="1"/>
  <c r="W249" i="1" s="1"/>
  <c r="Y243" i="1"/>
  <c r="L13" i="1" s="1"/>
  <c r="W250" i="1" s="1"/>
  <c r="X243" i="1"/>
  <c r="X225" i="1"/>
  <c r="X221" i="1"/>
  <c r="Y221" i="1" s="1"/>
  <c r="F14" i="1"/>
  <c r="E14" i="1" s="1"/>
  <c r="I14" i="1"/>
  <c r="H14" i="1" s="1"/>
  <c r="C21" i="1" s="1"/>
  <c r="X240" i="1" l="1"/>
  <c r="X219" i="1"/>
  <c r="Y219" i="1" s="1"/>
  <c r="Y240" i="1"/>
  <c r="L10" i="1" s="1"/>
  <c r="W247" i="1" s="1"/>
  <c r="Y241" i="1"/>
  <c r="L11" i="1" s="1"/>
  <c r="W248" i="1" s="1"/>
  <c r="Y226" i="1"/>
  <c r="Z226" i="1"/>
  <c r="Z223" i="1"/>
  <c r="J12" i="1"/>
  <c r="Y220" i="1"/>
  <c r="J10" i="1" s="1"/>
  <c r="Q232" i="1"/>
  <c r="Y222" i="1"/>
  <c r="J11" i="1" s="1"/>
  <c r="Z221" i="1"/>
  <c r="Z224" i="1"/>
  <c r="Z225" i="1"/>
  <c r="Y225" i="1"/>
  <c r="Z219" i="1" l="1"/>
  <c r="AA219" i="1" s="1"/>
  <c r="AA220" i="1"/>
  <c r="D27" i="1" s="1"/>
  <c r="Q231" i="1"/>
  <c r="W252" i="1"/>
  <c r="Y246" i="1" s="1"/>
  <c r="L14" i="1" s="1"/>
  <c r="P231" i="1"/>
  <c r="P232" i="1"/>
  <c r="R232" i="1" s="1"/>
  <c r="J13" i="1"/>
  <c r="R231" i="1" l="1"/>
  <c r="C20" i="1" s="1"/>
  <c r="J14" i="1"/>
  <c r="C19" i="1" l="1"/>
  <c r="H50" i="1"/>
  <c r="H52" i="1"/>
  <c r="F54" i="1"/>
  <c r="E48" i="1"/>
  <c r="H48" i="1" s="1"/>
  <c r="G48" i="1" s="1"/>
  <c r="E49" i="1"/>
  <c r="H49" i="1" s="1"/>
  <c r="G49" i="1" s="1"/>
  <c r="E50" i="1"/>
  <c r="E51" i="1"/>
  <c r="H51" i="1" s="1"/>
  <c r="E52" i="1"/>
  <c r="E53" i="1"/>
  <c r="H53" i="1" s="1"/>
  <c r="H47" i="1"/>
  <c r="E54" i="1" l="1"/>
  <c r="H54" i="1"/>
  <c r="P106" i="4" l="1"/>
  <c r="C27" i="5" s="1"/>
  <c r="D27" i="5" s="1"/>
  <c r="D35" i="5" l="1"/>
  <c r="D33" i="5"/>
  <c r="D31" i="5"/>
  <c r="D31" i="1"/>
  <c r="D37" i="5" l="1"/>
  <c r="C37" i="5" s="1"/>
  <c r="P37" i="4"/>
  <c r="P36" i="4"/>
  <c r="P35" i="4"/>
  <c r="P30" i="4"/>
  <c r="P31" i="4"/>
  <c r="P29" i="4"/>
  <c r="P23" i="4"/>
  <c r="P24" i="4"/>
  <c r="P27" i="4"/>
  <c r="P26" i="4"/>
  <c r="P22" i="4"/>
  <c r="P21" i="4"/>
  <c r="P20" i="4"/>
  <c r="N40" i="4" l="1"/>
  <c r="N32" i="4"/>
  <c r="K100" i="4" l="1"/>
  <c r="K101" i="4"/>
  <c r="K99" i="4"/>
  <c r="C150" i="1"/>
  <c r="E152" i="1"/>
  <c r="E148" i="1"/>
  <c r="E156" i="1" l="1"/>
  <c r="J172" i="1" s="1"/>
  <c r="E162" i="1"/>
  <c r="E158" i="1"/>
  <c r="J174" i="1" s="1"/>
  <c r="E160" i="1"/>
  <c r="J176" i="1" s="1"/>
  <c r="D152" i="1"/>
  <c r="C154" i="1"/>
  <c r="E164" i="1" l="1"/>
  <c r="Q289" i="1"/>
  <c r="P280" i="1"/>
  <c r="P281" i="1"/>
  <c r="P282" i="1"/>
  <c r="P283" i="1"/>
  <c r="P284" i="1"/>
  <c r="P285" i="1"/>
  <c r="P279" i="1"/>
  <c r="E102" i="1"/>
  <c r="D164" i="1" l="1"/>
  <c r="C178" i="1"/>
  <c r="C164" i="1"/>
  <c r="H141" i="1" s="1"/>
  <c r="Q284" i="1"/>
  <c r="R284" i="1" s="1"/>
  <c r="K52" i="1" s="1"/>
  <c r="Q282" i="1"/>
  <c r="R282" i="1" s="1"/>
  <c r="K50" i="1" s="1"/>
  <c r="P295" i="1" s="1"/>
  <c r="Q280" i="1"/>
  <c r="R280" i="1" s="1"/>
  <c r="K48" i="1" s="1"/>
  <c r="P293" i="1" s="1"/>
  <c r="Q285" i="1"/>
  <c r="R285" i="1" s="1"/>
  <c r="K53" i="1" s="1"/>
  <c r="Q281" i="1"/>
  <c r="R281" i="1" s="1"/>
  <c r="K49" i="1" s="1"/>
  <c r="P294" i="1" s="1"/>
  <c r="Q283" i="1"/>
  <c r="R283" i="1" s="1"/>
  <c r="K51" i="1" s="1"/>
  <c r="P296" i="1" s="1"/>
  <c r="Q279" i="1"/>
  <c r="R279" i="1" s="1"/>
  <c r="R255" i="1"/>
  <c r="P255" i="1"/>
  <c r="P257" i="1" l="1"/>
  <c r="P259" i="1"/>
  <c r="P261" i="1"/>
  <c r="P256" i="1"/>
  <c r="P258" i="1"/>
  <c r="P260" i="1"/>
  <c r="P262" i="1"/>
  <c r="P273" i="1" s="1"/>
  <c r="R287" i="1"/>
  <c r="P298" i="1" s="1"/>
  <c r="R286" i="1"/>
  <c r="P297" i="1" s="1"/>
  <c r="P290" i="1"/>
  <c r="P299" i="1" l="1"/>
  <c r="R262" i="1"/>
  <c r="I53" i="1" s="1"/>
  <c r="L53" i="1" s="1"/>
  <c r="P269" i="1"/>
  <c r="R258" i="1"/>
  <c r="I49" i="1" s="1"/>
  <c r="L49" i="1" s="1"/>
  <c r="R256" i="1"/>
  <c r="P267" i="1"/>
  <c r="R259" i="1"/>
  <c r="I50" i="1" s="1"/>
  <c r="L50" i="1" s="1"/>
  <c r="P270" i="1"/>
  <c r="P271" i="1"/>
  <c r="R260" i="1"/>
  <c r="I51" i="1" s="1"/>
  <c r="L51" i="1" s="1"/>
  <c r="R257" i="1"/>
  <c r="I48" i="1" s="1"/>
  <c r="L48" i="1" s="1"/>
  <c r="P268" i="1"/>
  <c r="R261" i="1"/>
  <c r="I52" i="1" s="1"/>
  <c r="L52" i="1" s="1"/>
  <c r="P272" i="1"/>
  <c r="L47" i="1" l="1"/>
  <c r="D67" i="1"/>
  <c r="Q290" i="1"/>
  <c r="K54" i="1" s="1"/>
  <c r="I54" i="1"/>
  <c r="R264" i="1"/>
  <c r="D71" i="1" l="1"/>
  <c r="D69" i="1"/>
  <c r="E62" i="1"/>
  <c r="C62" i="1"/>
  <c r="E60" i="1"/>
  <c r="C60" i="1"/>
  <c r="D79" i="1" l="1"/>
  <c r="D77" i="1"/>
  <c r="I176" i="1" s="1"/>
  <c r="D73" i="1"/>
  <c r="I172" i="1" s="1"/>
  <c r="D75" i="1"/>
  <c r="I174" i="1" s="1"/>
  <c r="D81" i="1" l="1"/>
  <c r="C81" i="1" s="1"/>
  <c r="D29" i="1"/>
  <c r="D33" i="1" s="1"/>
  <c r="C174" i="1" l="1"/>
  <c r="D39" i="1"/>
  <c r="G178" i="1" s="1"/>
  <c r="D37" i="1"/>
  <c r="H176" i="1" s="1"/>
  <c r="D35" i="1"/>
  <c r="H174" i="1" s="1"/>
  <c r="H172" i="1" l="1"/>
  <c r="G172" i="1"/>
  <c r="D41" i="1"/>
  <c r="C41" i="1" s="1"/>
  <c r="C172" i="1" l="1"/>
  <c r="C116" i="1" l="1"/>
  <c r="C112" i="1"/>
  <c r="G174" i="1" l="1"/>
  <c r="G176" i="1"/>
  <c r="D124" i="1" l="1"/>
  <c r="C124" i="1" s="1"/>
  <c r="I102" i="1" s="1"/>
  <c r="C176" i="1" l="1"/>
  <c r="C18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tc={EC315EDC-B16F-46F4-807F-E70F7D9230C4}</author>
    <author>Isadora Prado</author>
    <author>tc={824FA4FF-9A56-4CCA-8FED-29E3E8A90154}</author>
    <author>tc={EBD09D5F-3171-46C2-8B16-AC8B5A46F5F5}</author>
    <author>tc={982BD6CE-D45F-4EA8-9344-4FACA521CB95}</author>
    <author>tc={5B528BDF-61AA-44C3-A340-A6CC6364D692}</author>
    <author>tc={3BB914CE-85D4-47D1-837F-82C05F9DCBB0}</author>
  </authors>
  <commentList>
    <comment ref="H9" authorId="0" shapeId="0" xr:uid="{EC315EDC-B16F-46F4-807F-E70F7D9230C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Percentual com referência ao valor repassado da Oracle, ou seja ao valor pago pelo VAD e não ao valor de venda da ACCERTE</t>
      </text>
    </comment>
    <comment ref="B27" authorId="1" shapeId="0" xr:uid="{1563D21B-3E94-4B1A-BB11-FD49C025CDBD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essa margem é o que a Accerte irá ganhar de forma bruta do distribuidor - comissão da accerte</t>
        </r>
      </text>
    </comment>
    <comment ref="C29" authorId="2" shapeId="0" xr:uid="{824FA4FF-9A56-4CCA-8FED-29E3E8A9015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considerados: 
PIS: 1,65%
COFINS: 7,6%
ISS 2% (faturamento por brasilia)</t>
      </text>
    </comment>
    <comment ref="G46" authorId="3" shapeId="0" xr:uid="{EBD09D5F-3171-46C2-8B16-AC8B5A46F5F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Percentual com referência ao valor repassado da Oracle, ou seja ao valor pago pelo VAD e não ao valor de venda da ACCERTE</t>
      </text>
    </comment>
    <comment ref="B67" authorId="1" shapeId="0" xr:uid="{86A0563D-0B57-46C6-AD17-27C4FEF5FCD8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essa margem é o que a Accerte irá ganhar de forma bruta do distribuidor - comissão da accerte</t>
        </r>
      </text>
    </comment>
    <comment ref="C69" authorId="4" shapeId="0" xr:uid="{982BD6CE-D45F-4EA8-9344-4FACA521CB9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considerados: 
PIS: 1,65%
COFINS: 7,6%
ISS 2% (faturamento por brasilia)</t>
      </text>
    </comment>
    <comment ref="E102" authorId="1" shapeId="0" xr:uid="{21527FBF-2D23-4730-81AA-DF28C0C172D4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total de horas</t>
        </r>
      </text>
    </comment>
    <comment ref="G102" authorId="1" shapeId="0" xr:uid="{2F2F645A-ED90-432B-B99B-ED5518F6E222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custo total da operação</t>
        </r>
      </text>
    </comment>
    <comment ref="H102" authorId="1" shapeId="0" xr:uid="{3CAC4849-BDD1-43F5-88C5-CDA15171CA05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Média do valor de hora cobrado</t>
        </r>
      </text>
    </comment>
    <comment ref="I102" authorId="1" shapeId="0" xr:uid="{DC99A448-0289-4E9B-9795-4ECF2BE7808F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percentual liquido de lucro</t>
        </r>
      </text>
    </comment>
    <comment ref="J102" authorId="1" shapeId="0" xr:uid="{997866AA-D917-4D97-A2D9-DB19DEA637DB}">
      <text>
        <r>
          <rPr>
            <b/>
            <sz val="9"/>
            <color indexed="81"/>
            <rFont val="Segoe UI"/>
            <family val="2"/>
          </rPr>
          <t>Isadora Prado:</t>
        </r>
        <r>
          <rPr>
            <sz val="9"/>
            <color indexed="81"/>
            <rFont val="Segoe UI"/>
            <family val="2"/>
          </rPr>
          <t xml:space="preserve">
valor total de vendas</t>
        </r>
      </text>
    </comment>
    <comment ref="C110" authorId="5" shapeId="0" xr:uid="{5B528BDF-61AA-44C3-A340-A6CC6364D69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considerados: 
PIS: 1,65%
COFINS: 7,6%
ISS 2% (faturamento por brasilia)</t>
      </text>
    </comment>
    <comment ref="C148" authorId="6" shapeId="0" xr:uid="{3BB914CE-85D4-47D1-837F-82C05F9DCBB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Impostos considerados: 
PIS: 1,65%
COFINS: 7,6%
ISS 2% (faturamento por brasilia)</t>
      </text>
    </comment>
  </commentList>
</comments>
</file>

<file path=xl/sharedStrings.xml><?xml version="1.0" encoding="utf-8"?>
<sst xmlns="http://schemas.openxmlformats.org/spreadsheetml/2006/main" count="363" uniqueCount="208">
  <si>
    <t>Identificação do Cliente:</t>
  </si>
  <si>
    <t>Contato:</t>
  </si>
  <si>
    <t>Fornecedor Oracle</t>
  </si>
  <si>
    <t>Hardware: produtos e serviços</t>
  </si>
  <si>
    <t>QTD</t>
  </si>
  <si>
    <t>Produto</t>
  </si>
  <si>
    <t>Tipo</t>
  </si>
  <si>
    <t>Preço unitário do fornecedor Oracle</t>
  </si>
  <si>
    <t>Desconto Oracle</t>
  </si>
  <si>
    <t>Valor final Oracle</t>
  </si>
  <si>
    <t>Valor do VAD por produto</t>
  </si>
  <si>
    <t>Percentual de lucro do VAD</t>
  </si>
  <si>
    <t>Margem de Lucro do VAD</t>
  </si>
  <si>
    <t>Preço final mínimo P/cliente</t>
  </si>
  <si>
    <t>Simulador</t>
  </si>
  <si>
    <t>Margem Accerte</t>
  </si>
  <si>
    <t>Hardware</t>
  </si>
  <si>
    <t>Instalação</t>
  </si>
  <si>
    <t>ACS/logico</t>
  </si>
  <si>
    <t>Suporte</t>
  </si>
  <si>
    <t>BA</t>
  </si>
  <si>
    <t xml:space="preserve">Média </t>
  </si>
  <si>
    <t>Distribuidor (VAD) para produtos de Hardware</t>
  </si>
  <si>
    <t xml:space="preserve">Impostos </t>
  </si>
  <si>
    <t>Conversão dolar</t>
  </si>
  <si>
    <t>Cotação Atual</t>
  </si>
  <si>
    <t xml:space="preserve">Margem de lucro do distribuidor </t>
  </si>
  <si>
    <t>Preço em dolar</t>
  </si>
  <si>
    <t>Preço em real</t>
  </si>
  <si>
    <t>Análise financeira Accerte para vendas de Hardware</t>
  </si>
  <si>
    <t>Previsão</t>
  </si>
  <si>
    <t>Percentual</t>
  </si>
  <si>
    <t>Valor unitário/total</t>
  </si>
  <si>
    <t>Margem de lucro bruta - Margem desejada</t>
  </si>
  <si>
    <t>Imposto a ser pago pela accerte</t>
  </si>
  <si>
    <t>Custos Administrativos e despesas estimadas</t>
  </si>
  <si>
    <t>Comissão executivo de vendas</t>
  </si>
  <si>
    <t>Comissão gerente de vendas</t>
  </si>
  <si>
    <t>Comissão Backoffice</t>
  </si>
  <si>
    <t>Comissão de terceiros</t>
  </si>
  <si>
    <t>Lucro Accerte já descontado comissões e imposto</t>
  </si>
  <si>
    <t>Software / Licença / Cloud</t>
  </si>
  <si>
    <t>QTD.</t>
  </si>
  <si>
    <t>Preço final UNITÁRIO mínimo P/cliente</t>
  </si>
  <si>
    <t>Ambiente em Cloud OCI</t>
  </si>
  <si>
    <t>Total</t>
  </si>
  <si>
    <t>Distribuidor (VAD) para produtos de Software</t>
  </si>
  <si>
    <t xml:space="preserve">Outras taxas </t>
  </si>
  <si>
    <t>Conversão precificação Cloud</t>
  </si>
  <si>
    <t>Imposto adicional</t>
  </si>
  <si>
    <t>Custos adicionais</t>
  </si>
  <si>
    <t>Valor sem imposto</t>
  </si>
  <si>
    <t>Valor com imposto</t>
  </si>
  <si>
    <t>Análise financeira Accerte para vendas de Software</t>
  </si>
  <si>
    <t/>
  </si>
  <si>
    <t>Comissão backoffice</t>
  </si>
  <si>
    <t>Serviços de consultoria avulso</t>
  </si>
  <si>
    <t>Seviço</t>
  </si>
  <si>
    <t>Selecionar equipe</t>
  </si>
  <si>
    <t>Total de horas</t>
  </si>
  <si>
    <t>Custo de tercerização</t>
  </si>
  <si>
    <t>Custo operacional</t>
  </si>
  <si>
    <t>Valor cobrado por hora</t>
  </si>
  <si>
    <t>Margem de Lucro Bruta</t>
  </si>
  <si>
    <t>Preço de venda</t>
  </si>
  <si>
    <t>IMPLEMENTAÇÃO STORAGE GATEWAY</t>
  </si>
  <si>
    <t>Infraestrutura</t>
  </si>
  <si>
    <t>Análise financeira para serviços de consultoria</t>
  </si>
  <si>
    <t>Valor total</t>
  </si>
  <si>
    <t>Faturamento</t>
  </si>
  <si>
    <t>Custo com tercerização do serviço</t>
  </si>
  <si>
    <t>Custos Operacionais estimados</t>
  </si>
  <si>
    <t>Margem Líquida - Margem desejada</t>
  </si>
  <si>
    <t>Serviços de sustentação</t>
  </si>
  <si>
    <t>Tipo de contrato</t>
  </si>
  <si>
    <t>Equipe utilizada para a prestação do serviço</t>
  </si>
  <si>
    <t>Quantidade de horas totais</t>
  </si>
  <si>
    <t>Custo da hora de equipe</t>
  </si>
  <si>
    <t>Custo mensal do contrato</t>
  </si>
  <si>
    <t>Valor mensal do contrato</t>
  </si>
  <si>
    <t xml:space="preserve">Preço da hora </t>
  </si>
  <si>
    <t>Percentual de lucratividade bruta</t>
  </si>
  <si>
    <t>Custo com terceirização</t>
  </si>
  <si>
    <t>Tempo de contrato</t>
  </si>
  <si>
    <t>Valor total do contrato</t>
  </si>
  <si>
    <t>Lucro Líquido</t>
  </si>
  <si>
    <t>Análise financeira para serviços de sustentação</t>
  </si>
  <si>
    <t>Valor  mensal do contrato</t>
  </si>
  <si>
    <t>Custos operacionais estimados</t>
  </si>
  <si>
    <t xml:space="preserve">Quadro resumo </t>
  </si>
  <si>
    <t>Software</t>
  </si>
  <si>
    <t>Contrato de Sustentação</t>
  </si>
  <si>
    <t>Contrato de consultoria</t>
  </si>
  <si>
    <t>Lucro em venda de Hardware</t>
  </si>
  <si>
    <t>Comissão total executivo de vendas</t>
  </si>
  <si>
    <t xml:space="preserve">Lucro em venda de Software </t>
  </si>
  <si>
    <t>Comissão total gerente de vendas</t>
  </si>
  <si>
    <t>Lucro em serviços de consultoria</t>
  </si>
  <si>
    <t>Comissão total Backoffice</t>
  </si>
  <si>
    <t>Lucro em serviços de sustentação</t>
  </si>
  <si>
    <t>Lucro total</t>
  </si>
  <si>
    <t xml:space="preserve">Tipo </t>
  </si>
  <si>
    <t>Custo bruto Accerte</t>
  </si>
  <si>
    <t>ICMS</t>
  </si>
  <si>
    <t>PIS</t>
  </si>
  <si>
    <t>COFINS</t>
  </si>
  <si>
    <t>ISS</t>
  </si>
  <si>
    <t>Custo liquido Accerte</t>
  </si>
  <si>
    <t>MRG</t>
  </si>
  <si>
    <t xml:space="preserve">Venda Líquida </t>
  </si>
  <si>
    <t>Venda Bruto</t>
  </si>
  <si>
    <t>Margem Líquida</t>
  </si>
  <si>
    <t>Cálculo da Margem Líquida</t>
  </si>
  <si>
    <t>ESTADO DE SÃO PAULO</t>
  </si>
  <si>
    <t>OUTROS ESTADOS</t>
  </si>
  <si>
    <t>Acs/Logico</t>
  </si>
  <si>
    <t>Imposto</t>
  </si>
  <si>
    <t>Instalações</t>
  </si>
  <si>
    <t>Média</t>
  </si>
  <si>
    <t>percentual Accerte</t>
  </si>
  <si>
    <t xml:space="preserve">Planilha de custos Accerte </t>
  </si>
  <si>
    <t>Quadro resumo de gestão de impostos Hardware</t>
  </si>
  <si>
    <t>SP</t>
  </si>
  <si>
    <t>Outras regiões</t>
  </si>
  <si>
    <t>Outas regiões</t>
  </si>
  <si>
    <t>ACS/Logico</t>
  </si>
  <si>
    <t>Custos operacionais equipe de DBAs</t>
  </si>
  <si>
    <t>Equipe Operacional</t>
  </si>
  <si>
    <t>Quantidade</t>
  </si>
  <si>
    <t>Sálarios</t>
  </si>
  <si>
    <t>Fator de correção encargos sociais</t>
  </si>
  <si>
    <t>Valor Total</t>
  </si>
  <si>
    <t>DBA sobre regime de Pessoa Juríca</t>
  </si>
  <si>
    <t>DBA sobre regime CLT</t>
  </si>
  <si>
    <t>Estagiários</t>
  </si>
  <si>
    <t>Gerentes</t>
  </si>
  <si>
    <t>Gerente de projetos</t>
  </si>
  <si>
    <t xml:space="preserve">Softwares utilizados </t>
  </si>
  <si>
    <t>Custo unitário</t>
  </si>
  <si>
    <t>Softwares 1</t>
  </si>
  <si>
    <t>Softwares 2</t>
  </si>
  <si>
    <t>TOTAL DO CUSTO OPERACIONAL</t>
  </si>
  <si>
    <t>Quadro de horas</t>
  </si>
  <si>
    <t>Horas de trabalho disponíveis por profissional durante o mês</t>
  </si>
  <si>
    <t>Total de horas disponíveis</t>
  </si>
  <si>
    <t>DBA sobre regime de Pessoa Jurídica</t>
  </si>
  <si>
    <t>Quantidade de horas total</t>
  </si>
  <si>
    <t>Custos operacionais equipe de infraestrutura</t>
  </si>
  <si>
    <t>Técnico em infraestrutura</t>
  </si>
  <si>
    <t>Quadro de horas equipe infraestrutura</t>
  </si>
  <si>
    <t>Custos operacionais equipe de BI</t>
  </si>
  <si>
    <t>Técnico BI</t>
  </si>
  <si>
    <t>Quadro de horas equipe BI</t>
  </si>
  <si>
    <t>Precificação da hora</t>
  </si>
  <si>
    <t>Tipos de contratos de sustentação</t>
  </si>
  <si>
    <t>Percentual de atendimento em horário comercial</t>
  </si>
  <si>
    <t>Percentual de atendimento fora do horário comercial</t>
  </si>
  <si>
    <t>Fator de adequação</t>
  </si>
  <si>
    <t>Banco de dados</t>
  </si>
  <si>
    <t>BI</t>
  </si>
  <si>
    <t>8 horas/5 dias</t>
  </si>
  <si>
    <t>Equipe de banco de dados (DBAs)</t>
  </si>
  <si>
    <t>24 horas/5 dias</t>
  </si>
  <si>
    <t>Equipe de infraestrutura</t>
  </si>
  <si>
    <t>24 horas/7 dias</t>
  </si>
  <si>
    <t>Equipe de (BI)</t>
  </si>
  <si>
    <t>Custos administrativos e despesas</t>
  </si>
  <si>
    <t>Estimativa de custos administrativos e despesas</t>
  </si>
  <si>
    <t>Média de Faturamento últimos 12 meses</t>
  </si>
  <si>
    <t>Média dos custos Administrativos e despesas dos últimos 12 meses</t>
  </si>
  <si>
    <t xml:space="preserve">Planilha de formação de preços para serviços avulsos </t>
  </si>
  <si>
    <t xml:space="preserve">Simulador </t>
  </si>
  <si>
    <t>QTD. de horas</t>
  </si>
  <si>
    <t>Lista de serviços</t>
  </si>
  <si>
    <t>Valor da Hora trabalhada</t>
  </si>
  <si>
    <t>Adicional de terceiros</t>
  </si>
  <si>
    <t>Valor final</t>
  </si>
  <si>
    <t>Custo hora da equipe</t>
  </si>
  <si>
    <t>EQUIPE</t>
  </si>
  <si>
    <t>Comissão assitente de vendas</t>
  </si>
  <si>
    <t xml:space="preserve">Nome do Serviço </t>
  </si>
  <si>
    <t>Quantidade horas</t>
  </si>
  <si>
    <t>Valor da hora trabalhada</t>
  </si>
  <si>
    <t>Lucro estimado por serviço</t>
  </si>
  <si>
    <t>Preço sugerido</t>
  </si>
  <si>
    <t>Percentual de lucratividade</t>
  </si>
  <si>
    <t>Deploy ODA HA Bare Metal (base &gt;=2TB)</t>
  </si>
  <si>
    <t>Deploy ODA HA Bare Metal (base &lt; 2TB &gt;=800GB)</t>
  </si>
  <si>
    <t>Deploy ODA HA Bare Metal ( base &lt; 800GB)</t>
  </si>
  <si>
    <t>Deploy ODA HA Virtualizado ( base &gt;= 2TB)</t>
  </si>
  <si>
    <t>Deploy ODA HA Virtualizado (base &lt; 2TB &gt;= 800GB)</t>
  </si>
  <si>
    <t>Deploy ODA HA Virtualizado (base &lt;800GB)</t>
  </si>
  <si>
    <t>Deploy ODA S/M</t>
  </si>
  <si>
    <t>Migração de Banco de Dados (base &gt;=2TB)</t>
  </si>
  <si>
    <t>Migração de Banco de Dados (base &lt; 2TB  &gt;=800GB)</t>
  </si>
  <si>
    <t>Migração de Banco de Dados (base &lt;800GB)</t>
  </si>
  <si>
    <t>Instalação de Servidor de Banco de Dados</t>
  </si>
  <si>
    <t>Implementação Oracle Dataguard</t>
  </si>
  <si>
    <t>Implementação Standby Archive</t>
  </si>
  <si>
    <t>Consultoria em Infraestrutura</t>
  </si>
  <si>
    <t xml:space="preserve">Implementção Cloud Backup Service </t>
  </si>
  <si>
    <t xml:space="preserve">Criação de instância de banco de dados </t>
  </si>
  <si>
    <t>Setup Cloud (&lt;=15 maquinas)</t>
  </si>
  <si>
    <t>Setup Cloud (&gt;=15 &lt;=30 maquinas)</t>
  </si>
  <si>
    <t>Setup Cloud (&gt;=30 maquinas)</t>
  </si>
  <si>
    <t>Criação de VM na cloud</t>
  </si>
  <si>
    <t>Implementação do Firewall Fortinet</t>
  </si>
  <si>
    <t>Implementação do Active Directory (AD)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</si>
</sst>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&quot;R$&quot;#,##0.00"/>
    <numFmt numFmtId="167" formatCode="0.000000%"/>
    <numFmt numFmtId="168" formatCode="0.000%"/>
    <numFmt numFmtId="169" formatCode="0\ &quot;meses&quot;"/>
    <numFmt numFmtId="170" formatCode="0\ &quot;horas&quot;"/>
    <numFmt numFmtId="171" formatCode="_-&quot;R$&quot;* #,##0.000_-;\-&quot;R$&quot;* #,##0.000_-;_-&quot;R$&quot;* &quot;-&quot;???_-;_-@_-"/>
    <numFmt numFmtId="172" formatCode="0.0000%"/>
    <numFmt numFmtId="173" formatCode="_-&quot;R$&quot;* #,##0.00_-;\-&quot;R$&quot;* #,##0.00_-;_-&quot;R$&quot;* &quot;-&quot;???_-;_-@_-"/>
    <numFmt numFmtId="174" formatCode="_-[$USS]\ * #,##0.00_-;\-[$USS]\ * #,##0.00_-;_-[$USS]\ * &quot;-&quot;??_-;_-@_-"/>
    <numFmt numFmtId="175" formatCode="0\ &quot;Horas&quot;"/>
    <numFmt numFmtId="176" formatCode="[$-F800]dddd\,\ mmmm\ dd\,\ yyyy"/>
    <numFmt numFmtId="177" formatCode="&quot;R$&quot;\ #,##0.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2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22"/>
      <color theme="2" tint="-0.749992370372631"/>
      <name val="Calibri"/>
      <family val="2"/>
      <scheme val="minor"/>
    </font>
    <font>
      <sz val="36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8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5B1B1"/>
        <bgColor indexed="64"/>
      </patternFill>
    </fill>
    <fill>
      <patternFill patternType="solid">
        <fgColor theme="0" tint="-0.249977111117893"/>
        <bgColor indexed="64"/>
      </patternFill>
    </fill>
  </fills>
  <borders count="48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theme="0"/>
      </bottom>
      <diagonal/>
    </border>
    <border>
      <left/>
      <right style="medium">
        <color auto="1"/>
      </right>
      <top style="thin">
        <color theme="0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thin">
        <color auto="1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  <border>
      <left/>
      <right/>
      <top/>
      <bottom style="thick">
        <color theme="0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40">
    <xf numFmtId="0" fontId="0" fillId="0" borderId="0" xfId="0"/>
    <xf numFmtId="0" fontId="0" fillId="6" borderId="0" xfId="0" applyFill="1"/>
    <xf numFmtId="0" fontId="0" fillId="6" borderId="3" xfId="0" applyFill="1" applyBorder="1"/>
    <xf numFmtId="0" fontId="0" fillId="7" borderId="0" xfId="0" applyFill="1"/>
    <xf numFmtId="0" fontId="0" fillId="8" borderId="0" xfId="0" applyFill="1"/>
    <xf numFmtId="0" fontId="8" fillId="9" borderId="0" xfId="0" applyFont="1" applyFill="1" applyAlignment="1">
      <alignment horizontal="center"/>
    </xf>
    <xf numFmtId="0" fontId="4" fillId="9" borderId="0" xfId="0" applyFont="1" applyFill="1"/>
    <xf numFmtId="0" fontId="0" fillId="9" borderId="0" xfId="0" applyFill="1"/>
    <xf numFmtId="0" fontId="6" fillId="6" borderId="0" xfId="0" applyFont="1" applyFill="1" applyAlignment="1">
      <alignment horizontal="center"/>
    </xf>
    <xf numFmtId="165" fontId="3" fillId="11" borderId="17" xfId="1" applyNumberFormat="1" applyFont="1" applyFill="1" applyBorder="1" applyAlignment="1">
      <alignment vertical="center"/>
    </xf>
    <xf numFmtId="165" fontId="3" fillId="11" borderId="16" xfId="1" applyNumberFormat="1" applyFont="1" applyFill="1" applyBorder="1" applyAlignment="1">
      <alignment vertical="center"/>
    </xf>
    <xf numFmtId="0" fontId="8" fillId="2" borderId="0" xfId="0" applyFont="1" applyFill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3" fillId="4" borderId="0" xfId="0" applyFont="1" applyFill="1" applyProtection="1">
      <protection locked="0"/>
    </xf>
    <xf numFmtId="0" fontId="0" fillId="4" borderId="5" xfId="0" applyFill="1" applyBorder="1" applyAlignment="1" applyProtection="1">
      <alignment vertical="center"/>
      <protection locked="0"/>
    </xf>
    <xf numFmtId="0" fontId="3" fillId="12" borderId="0" xfId="0" applyFont="1" applyFill="1" applyProtection="1">
      <protection locked="0"/>
    </xf>
    <xf numFmtId="0" fontId="0" fillId="12" borderId="10" xfId="0" applyFill="1" applyBorder="1" applyAlignment="1" applyProtection="1">
      <alignment vertical="center"/>
      <protection locked="0"/>
    </xf>
    <xf numFmtId="0" fontId="0" fillId="4" borderId="10" xfId="0" applyFill="1" applyBorder="1" applyAlignment="1" applyProtection="1">
      <alignment vertical="center"/>
      <protection locked="0"/>
    </xf>
    <xf numFmtId="165" fontId="3" fillId="4" borderId="10" xfId="0" applyNumberFormat="1" applyFont="1" applyFill="1" applyBorder="1" applyAlignment="1" applyProtection="1">
      <alignment horizontal="center" vertical="center"/>
      <protection locked="0"/>
    </xf>
    <xf numFmtId="165" fontId="3" fillId="12" borderId="10" xfId="0" applyNumberFormat="1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165" fontId="3" fillId="4" borderId="9" xfId="0" applyNumberFormat="1" applyFont="1" applyFill="1" applyBorder="1" applyAlignment="1" applyProtection="1">
      <alignment horizontal="center" vertical="center"/>
      <protection locked="0"/>
    </xf>
    <xf numFmtId="0" fontId="3" fillId="12" borderId="0" xfId="0" applyFont="1" applyFill="1" applyAlignment="1" applyProtection="1">
      <alignment horizontal="center" vertical="center"/>
      <protection locked="0"/>
    </xf>
    <xf numFmtId="165" fontId="3" fillId="12" borderId="9" xfId="0" applyNumberFormat="1" applyFont="1" applyFill="1" applyBorder="1" applyAlignment="1" applyProtection="1">
      <alignment horizontal="center" vertical="center"/>
      <protection locked="0"/>
    </xf>
    <xf numFmtId="0" fontId="18" fillId="17" borderId="0" xfId="0" applyFont="1" applyFill="1"/>
    <xf numFmtId="0" fontId="0" fillId="17" borderId="0" xfId="0" applyFill="1"/>
    <xf numFmtId="9" fontId="3" fillId="4" borderId="0" xfId="1" applyFont="1" applyFill="1" applyBorder="1" applyAlignment="1" applyProtection="1">
      <alignment vertical="center"/>
      <protection locked="0"/>
    </xf>
    <xf numFmtId="9" fontId="3" fillId="12" borderId="0" xfId="1" applyFont="1" applyFill="1" applyBorder="1" applyAlignment="1" applyProtection="1">
      <alignment vertical="center"/>
      <protection locked="0"/>
    </xf>
    <xf numFmtId="0" fontId="0" fillId="3" borderId="3" xfId="0" applyFill="1" applyBorder="1"/>
    <xf numFmtId="0" fontId="0" fillId="7" borderId="3" xfId="0" applyFill="1" applyBorder="1" applyAlignment="1">
      <alignment vertical="center"/>
    </xf>
    <xf numFmtId="165" fontId="3" fillId="7" borderId="3" xfId="0" applyNumberFormat="1" applyFont="1" applyFill="1" applyBorder="1" applyAlignment="1">
      <alignment vertical="center"/>
    </xf>
    <xf numFmtId="9" fontId="3" fillId="7" borderId="3" xfId="1" applyFont="1" applyFill="1" applyBorder="1" applyAlignment="1">
      <alignment vertical="center"/>
    </xf>
    <xf numFmtId="0" fontId="18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10" fillId="16" borderId="6" xfId="0" applyFont="1" applyFill="1" applyBorder="1" applyAlignment="1">
      <alignment horizontal="center" vertical="center" wrapText="1"/>
    </xf>
    <xf numFmtId="165" fontId="3" fillId="4" borderId="5" xfId="0" applyNumberFormat="1" applyFont="1" applyFill="1" applyBorder="1" applyAlignment="1" applyProtection="1">
      <alignment vertical="center"/>
      <protection locked="0"/>
    </xf>
    <xf numFmtId="165" fontId="3" fillId="12" borderId="10" xfId="0" applyNumberFormat="1" applyFont="1" applyFill="1" applyBorder="1" applyAlignment="1" applyProtection="1">
      <alignment vertical="center"/>
      <protection locked="0"/>
    </xf>
    <xf numFmtId="165" fontId="3" fillId="4" borderId="10" xfId="0" applyNumberFormat="1" applyFont="1" applyFill="1" applyBorder="1" applyAlignment="1" applyProtection="1">
      <alignment vertical="center"/>
      <protection locked="0"/>
    </xf>
    <xf numFmtId="0" fontId="0" fillId="21" borderId="0" xfId="0" applyFill="1"/>
    <xf numFmtId="0" fontId="0" fillId="23" borderId="0" xfId="0" applyFill="1"/>
    <xf numFmtId="0" fontId="23" fillId="2" borderId="26" xfId="0" applyFont="1" applyFill="1" applyBorder="1" applyAlignment="1">
      <alignment vertical="center" wrapText="1"/>
    </xf>
    <xf numFmtId="165" fontId="15" fillId="24" borderId="5" xfId="0" applyNumberFormat="1" applyFont="1" applyFill="1" applyBorder="1" applyAlignment="1">
      <alignment vertical="center"/>
    </xf>
    <xf numFmtId="165" fontId="15" fillId="24" borderId="10" xfId="0" applyNumberFormat="1" applyFont="1" applyFill="1" applyBorder="1" applyAlignment="1">
      <alignment horizontal="center" vertical="center"/>
    </xf>
    <xf numFmtId="165" fontId="15" fillId="24" borderId="6" xfId="0" applyNumberFormat="1" applyFont="1" applyFill="1" applyBorder="1" applyAlignment="1">
      <alignment horizontal="center" vertical="center"/>
    </xf>
    <xf numFmtId="165" fontId="15" fillId="14" borderId="5" xfId="0" applyNumberFormat="1" applyFont="1" applyFill="1" applyBorder="1" applyAlignment="1">
      <alignment horizontal="center" vertical="center"/>
    </xf>
    <xf numFmtId="165" fontId="15" fillId="14" borderId="10" xfId="0" applyNumberFormat="1" applyFont="1" applyFill="1" applyBorder="1" applyAlignment="1">
      <alignment horizontal="center" vertical="center"/>
    </xf>
    <xf numFmtId="165" fontId="15" fillId="14" borderId="6" xfId="0" applyNumberFormat="1" applyFont="1" applyFill="1" applyBorder="1" applyAlignment="1">
      <alignment horizontal="center" vertical="center"/>
    </xf>
    <xf numFmtId="10" fontId="15" fillId="14" borderId="5" xfId="0" applyNumberFormat="1" applyFont="1" applyFill="1" applyBorder="1" applyAlignment="1">
      <alignment horizontal="center" vertical="center"/>
    </xf>
    <xf numFmtId="10" fontId="15" fillId="14" borderId="10" xfId="0" applyNumberFormat="1" applyFont="1" applyFill="1" applyBorder="1" applyAlignment="1">
      <alignment horizontal="center" vertical="center"/>
    </xf>
    <xf numFmtId="10" fontId="15" fillId="14" borderId="6" xfId="0" applyNumberFormat="1" applyFont="1" applyFill="1" applyBorder="1" applyAlignment="1">
      <alignment horizontal="center" vertical="center"/>
    </xf>
    <xf numFmtId="165" fontId="15" fillId="25" borderId="10" xfId="0" applyNumberFormat="1" applyFont="1" applyFill="1" applyBorder="1" applyAlignment="1">
      <alignment horizontal="center" vertical="center"/>
    </xf>
    <xf numFmtId="10" fontId="15" fillId="25" borderId="10" xfId="0" applyNumberFormat="1" applyFont="1" applyFill="1" applyBorder="1" applyAlignment="1">
      <alignment horizontal="center" vertical="center"/>
    </xf>
    <xf numFmtId="165" fontId="15" fillId="28" borderId="10" xfId="0" applyNumberFormat="1" applyFont="1" applyFill="1" applyBorder="1" applyAlignment="1">
      <alignment vertical="center"/>
    </xf>
    <xf numFmtId="165" fontId="15" fillId="28" borderId="10" xfId="0" applyNumberFormat="1" applyFont="1" applyFill="1" applyBorder="1" applyAlignment="1">
      <alignment horizontal="center" vertical="center"/>
    </xf>
    <xf numFmtId="0" fontId="2" fillId="29" borderId="0" xfId="0" applyFont="1" applyFill="1" applyAlignment="1">
      <alignment horizontal="center" vertical="center"/>
    </xf>
    <xf numFmtId="0" fontId="2" fillId="29" borderId="6" xfId="0" applyFont="1" applyFill="1" applyBorder="1" applyAlignment="1">
      <alignment horizontal="center" vertical="center"/>
    </xf>
    <xf numFmtId="0" fontId="2" fillId="29" borderId="6" xfId="0" applyFont="1" applyFill="1" applyBorder="1" applyAlignment="1">
      <alignment horizontal="center" vertical="center" wrapText="1"/>
    </xf>
    <xf numFmtId="165" fontId="3" fillId="25" borderId="10" xfId="0" applyNumberFormat="1" applyFont="1" applyFill="1" applyBorder="1" applyAlignment="1">
      <alignment vertical="center"/>
    </xf>
    <xf numFmtId="165" fontId="3" fillId="14" borderId="10" xfId="0" applyNumberFormat="1" applyFont="1" applyFill="1" applyBorder="1" applyAlignment="1">
      <alignment vertical="center"/>
    </xf>
    <xf numFmtId="0" fontId="10" fillId="20" borderId="23" xfId="0" applyFont="1" applyFill="1" applyBorder="1" applyAlignment="1">
      <alignment horizontal="center" vertical="center"/>
    </xf>
    <xf numFmtId="0" fontId="10" fillId="21" borderId="25" xfId="0" applyFont="1" applyFill="1" applyBorder="1" applyAlignment="1">
      <alignment horizontal="center" vertical="center" wrapText="1"/>
    </xf>
    <xf numFmtId="0" fontId="10" fillId="18" borderId="25" xfId="0" applyFont="1" applyFill="1" applyBorder="1" applyAlignment="1">
      <alignment horizontal="center" vertical="center" wrapText="1"/>
    </xf>
    <xf numFmtId="0" fontId="2" fillId="20" borderId="6" xfId="0" applyFont="1" applyFill="1" applyBorder="1" applyAlignment="1">
      <alignment horizontal="center" vertical="center" wrapText="1"/>
    </xf>
    <xf numFmtId="10" fontId="3" fillId="11" borderId="15" xfId="1" applyNumberFormat="1" applyFont="1" applyFill="1" applyBorder="1" applyAlignment="1" applyProtection="1">
      <alignment horizontal="right" vertical="center"/>
      <protection locked="0"/>
    </xf>
    <xf numFmtId="10" fontId="3" fillId="11" borderId="15" xfId="1" applyNumberFormat="1" applyFont="1" applyFill="1" applyBorder="1" applyAlignment="1" applyProtection="1">
      <alignment vertical="center"/>
      <protection locked="0"/>
    </xf>
    <xf numFmtId="168" fontId="15" fillId="14" borderId="5" xfId="0" applyNumberFormat="1" applyFont="1" applyFill="1" applyBorder="1" applyAlignment="1">
      <alignment horizontal="center" vertical="center"/>
    </xf>
    <xf numFmtId="168" fontId="15" fillId="25" borderId="10" xfId="0" applyNumberFormat="1" applyFont="1" applyFill="1" applyBorder="1" applyAlignment="1">
      <alignment horizontal="center" vertical="center"/>
    </xf>
    <xf numFmtId="168" fontId="15" fillId="14" borderId="10" xfId="0" applyNumberFormat="1" applyFont="1" applyFill="1" applyBorder="1" applyAlignment="1">
      <alignment horizontal="center" vertical="center"/>
    </xf>
    <xf numFmtId="168" fontId="15" fillId="14" borderId="6" xfId="0" applyNumberFormat="1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 wrapText="1"/>
    </xf>
    <xf numFmtId="0" fontId="23" fillId="30" borderId="0" xfId="0" applyFont="1" applyFill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 wrapText="1"/>
    </xf>
    <xf numFmtId="10" fontId="21" fillId="11" borderId="29" xfId="0" applyNumberFormat="1" applyFont="1" applyFill="1" applyBorder="1" applyAlignment="1" applyProtection="1">
      <alignment vertical="center"/>
      <protection locked="0"/>
    </xf>
    <xf numFmtId="10" fontId="21" fillId="11" borderId="26" xfId="0" applyNumberFormat="1" applyFont="1" applyFill="1" applyBorder="1" applyAlignment="1" applyProtection="1">
      <alignment vertical="center"/>
      <protection locked="0"/>
    </xf>
    <xf numFmtId="0" fontId="18" fillId="7" borderId="2" xfId="0" applyFont="1" applyFill="1" applyBorder="1"/>
    <xf numFmtId="0" fontId="18" fillId="7" borderId="36" xfId="0" applyFont="1" applyFill="1" applyBorder="1"/>
    <xf numFmtId="0" fontId="0" fillId="6" borderId="2" xfId="0" applyFill="1" applyBorder="1"/>
    <xf numFmtId="0" fontId="0" fillId="9" borderId="19" xfId="0" applyFill="1" applyBorder="1"/>
    <xf numFmtId="0" fontId="0" fillId="7" borderId="2" xfId="0" applyFill="1" applyBorder="1"/>
    <xf numFmtId="0" fontId="8" fillId="9" borderId="19" xfId="0" applyFont="1" applyFill="1" applyBorder="1" applyAlignment="1">
      <alignment horizontal="center"/>
    </xf>
    <xf numFmtId="0" fontId="18" fillId="3" borderId="2" xfId="0" applyFont="1" applyFill="1" applyBorder="1"/>
    <xf numFmtId="0" fontId="4" fillId="9" borderId="19" xfId="0" applyFont="1" applyFill="1" applyBorder="1"/>
    <xf numFmtId="0" fontId="18" fillId="14" borderId="0" xfId="0" applyFont="1" applyFill="1"/>
    <xf numFmtId="0" fontId="7" fillId="21" borderId="6" xfId="0" applyFont="1" applyFill="1" applyBorder="1" applyAlignment="1">
      <alignment horizontal="center"/>
    </xf>
    <xf numFmtId="0" fontId="7" fillId="21" borderId="4" xfId="0" applyFont="1" applyFill="1" applyBorder="1" applyAlignment="1">
      <alignment horizontal="center"/>
    </xf>
    <xf numFmtId="0" fontId="10" fillId="29" borderId="6" xfId="0" applyFont="1" applyFill="1" applyBorder="1" applyAlignment="1">
      <alignment horizontal="center" vertical="center"/>
    </xf>
    <xf numFmtId="0" fontId="7" fillId="29" borderId="6" xfId="0" applyFont="1" applyFill="1" applyBorder="1" applyAlignment="1">
      <alignment horizontal="center" vertical="center"/>
    </xf>
    <xf numFmtId="0" fontId="10" fillId="29" borderId="6" xfId="0" applyFont="1" applyFill="1" applyBorder="1" applyAlignment="1">
      <alignment horizontal="center" vertical="center" wrapText="1"/>
    </xf>
    <xf numFmtId="0" fontId="0" fillId="6" borderId="37" xfId="0" applyFill="1" applyBorder="1"/>
    <xf numFmtId="10" fontId="3" fillId="4" borderId="0" xfId="1" applyNumberFormat="1" applyFont="1" applyFill="1" applyBorder="1" applyAlignment="1" applyProtection="1">
      <alignment vertical="center"/>
      <protection locked="0"/>
    </xf>
    <xf numFmtId="10" fontId="3" fillId="12" borderId="0" xfId="1" applyNumberFormat="1" applyFont="1" applyFill="1" applyBorder="1" applyAlignment="1" applyProtection="1">
      <alignment vertical="center"/>
      <protection locked="0"/>
    </xf>
    <xf numFmtId="10" fontId="3" fillId="11" borderId="15" xfId="1" applyNumberFormat="1" applyFont="1" applyFill="1" applyBorder="1" applyAlignment="1" applyProtection="1">
      <alignment vertical="center"/>
    </xf>
    <xf numFmtId="165" fontId="3" fillId="11" borderId="17" xfId="1" applyNumberFormat="1" applyFont="1" applyFill="1" applyBorder="1" applyAlignment="1" applyProtection="1">
      <alignment vertical="center"/>
    </xf>
    <xf numFmtId="172" fontId="3" fillId="11" borderId="15" xfId="1" applyNumberFormat="1" applyFont="1" applyFill="1" applyBorder="1" applyAlignment="1" applyProtection="1">
      <alignment vertical="center"/>
    </xf>
    <xf numFmtId="165" fontId="3" fillId="11" borderId="16" xfId="1" applyNumberFormat="1" applyFont="1" applyFill="1" applyBorder="1" applyAlignment="1" applyProtection="1">
      <alignment vertical="center"/>
    </xf>
    <xf numFmtId="0" fontId="0" fillId="13" borderId="0" xfId="0" applyFill="1"/>
    <xf numFmtId="0" fontId="18" fillId="19" borderId="2" xfId="0" applyFont="1" applyFill="1" applyBorder="1"/>
    <xf numFmtId="0" fontId="0" fillId="33" borderId="0" xfId="0" applyFill="1"/>
    <xf numFmtId="0" fontId="6" fillId="0" borderId="0" xfId="0" applyFont="1" applyAlignment="1" applyProtection="1">
      <alignment horizontal="center" vertical="center"/>
      <protection locked="0"/>
    </xf>
    <xf numFmtId="0" fontId="7" fillId="30" borderId="6" xfId="0" applyFont="1" applyFill="1" applyBorder="1" applyAlignment="1">
      <alignment horizontal="center" vertical="center"/>
    </xf>
    <xf numFmtId="0" fontId="7" fillId="20" borderId="23" xfId="0" applyFont="1" applyFill="1" applyBorder="1" applyAlignment="1">
      <alignment horizontal="center" vertical="center"/>
    </xf>
    <xf numFmtId="175" fontId="6" fillId="0" borderId="0" xfId="0" applyNumberFormat="1" applyFont="1" applyAlignment="1" applyProtection="1">
      <alignment horizontal="center" vertical="center"/>
      <protection locked="0"/>
    </xf>
    <xf numFmtId="165" fontId="6" fillId="0" borderId="0" xfId="0" applyNumberFormat="1" applyFont="1" applyProtection="1">
      <protection locked="0"/>
    </xf>
    <xf numFmtId="0" fontId="25" fillId="0" borderId="0" xfId="0" applyFont="1" applyProtection="1">
      <protection locked="0"/>
    </xf>
    <xf numFmtId="165" fontId="6" fillId="0" borderId="0" xfId="1" applyNumberFormat="1" applyFont="1" applyFill="1" applyAlignment="1" applyProtection="1">
      <alignment horizontal="center" vertical="center"/>
      <protection locked="0"/>
    </xf>
    <xf numFmtId="165" fontId="6" fillId="31" borderId="0" xfId="1" applyNumberFormat="1" applyFont="1" applyFill="1" applyProtection="1"/>
    <xf numFmtId="10" fontId="6" fillId="31" borderId="0" xfId="1" applyNumberFormat="1" applyFont="1" applyFill="1" applyAlignment="1" applyProtection="1">
      <alignment horizontal="center" vertical="center"/>
    </xf>
    <xf numFmtId="165" fontId="6" fillId="31" borderId="0" xfId="1" applyNumberFormat="1" applyFont="1" applyFill="1" applyAlignment="1" applyProtection="1">
      <alignment horizontal="center" vertical="center"/>
    </xf>
    <xf numFmtId="0" fontId="29" fillId="10" borderId="0" xfId="0" applyFont="1" applyFill="1" applyAlignment="1">
      <alignment vertical="center"/>
    </xf>
    <xf numFmtId="0" fontId="0" fillId="10" borderId="0" xfId="0" applyFill="1"/>
    <xf numFmtId="0" fontId="18" fillId="10" borderId="0" xfId="0" applyFont="1" applyFill="1"/>
    <xf numFmtId="0" fontId="5" fillId="35" borderId="0" xfId="0" applyFont="1" applyFill="1" applyAlignment="1">
      <alignment horizontal="center" vertical="center"/>
    </xf>
    <xf numFmtId="0" fontId="11" fillId="35" borderId="0" xfId="0" applyFont="1" applyFill="1" applyAlignment="1">
      <alignment horizontal="center" vertical="center"/>
    </xf>
    <xf numFmtId="0" fontId="0" fillId="35" borderId="0" xfId="0" applyFill="1"/>
    <xf numFmtId="0" fontId="3" fillId="8" borderId="4" xfId="0" applyFont="1" applyFill="1" applyBorder="1"/>
    <xf numFmtId="165" fontId="3" fillId="8" borderId="4" xfId="0" applyNumberFormat="1" applyFont="1" applyFill="1" applyBorder="1" applyProtection="1">
      <protection locked="0"/>
    </xf>
    <xf numFmtId="174" fontId="3" fillId="8" borderId="4" xfId="0" applyNumberFormat="1" applyFont="1" applyFill="1" applyBorder="1" applyProtection="1">
      <protection locked="0"/>
    </xf>
    <xf numFmtId="0" fontId="3" fillId="27" borderId="4" xfId="0" applyFont="1" applyFill="1" applyBorder="1"/>
    <xf numFmtId="165" fontId="3" fillId="27" borderId="4" xfId="0" applyNumberFormat="1" applyFont="1" applyFill="1" applyBorder="1"/>
    <xf numFmtId="10" fontId="3" fillId="8" borderId="4" xfId="1" applyNumberFormat="1" applyFont="1" applyFill="1" applyBorder="1" applyProtection="1">
      <protection locked="0"/>
    </xf>
    <xf numFmtId="0" fontId="10" fillId="30" borderId="10" xfId="0" applyFont="1" applyFill="1" applyBorder="1" applyAlignment="1">
      <alignment horizontal="center" vertical="center"/>
    </xf>
    <xf numFmtId="0" fontId="7" fillId="37" borderId="0" xfId="0" applyFont="1" applyFill="1" applyAlignment="1">
      <alignment horizontal="center" vertical="center"/>
    </xf>
    <xf numFmtId="170" fontId="8" fillId="37" borderId="0" xfId="0" applyNumberFormat="1" applyFont="1" applyFill="1" applyAlignment="1">
      <alignment horizontal="center" vertical="center"/>
    </xf>
    <xf numFmtId="2" fontId="21" fillId="5" borderId="26" xfId="0" applyNumberFormat="1" applyFont="1" applyFill="1" applyBorder="1" applyAlignment="1">
      <alignment horizontal="center" vertical="center"/>
    </xf>
    <xf numFmtId="165" fontId="21" fillId="5" borderId="26" xfId="0" applyNumberFormat="1" applyFont="1" applyFill="1" applyBorder="1" applyAlignment="1">
      <alignment vertical="center"/>
    </xf>
    <xf numFmtId="0" fontId="21" fillId="5" borderId="26" xfId="0" applyFont="1" applyFill="1" applyBorder="1" applyAlignment="1">
      <alignment horizontal="center" vertical="center"/>
    </xf>
    <xf numFmtId="0" fontId="18" fillId="21" borderId="0" xfId="0" applyFont="1" applyFill="1"/>
    <xf numFmtId="0" fontId="23" fillId="16" borderId="25" xfId="0" applyFont="1" applyFill="1" applyBorder="1" applyAlignment="1">
      <alignment horizontal="center" vertical="center" wrapText="1"/>
    </xf>
    <xf numFmtId="0" fontId="10" fillId="16" borderId="17" xfId="0" applyFont="1" applyFill="1" applyBorder="1" applyAlignment="1">
      <alignment horizontal="center" vertical="center" wrapText="1"/>
    </xf>
    <xf numFmtId="0" fontId="10" fillId="16" borderId="25" xfId="0" applyFont="1" applyFill="1" applyBorder="1" applyAlignment="1">
      <alignment horizontal="center" vertical="center" wrapText="1"/>
    </xf>
    <xf numFmtId="0" fontId="6" fillId="8" borderId="39" xfId="0" applyFont="1" applyFill="1" applyBorder="1" applyAlignment="1" applyProtection="1">
      <alignment horizontal="center" vertical="center"/>
      <protection locked="0"/>
    </xf>
    <xf numFmtId="165" fontId="15" fillId="8" borderId="39" xfId="0" applyNumberFormat="1" applyFont="1" applyFill="1" applyBorder="1" applyAlignment="1" applyProtection="1">
      <alignment vertical="center"/>
      <protection locked="0"/>
    </xf>
    <xf numFmtId="165" fontId="15" fillId="8" borderId="39" xfId="0" applyNumberFormat="1" applyFont="1" applyFill="1" applyBorder="1" applyAlignment="1" applyProtection="1">
      <alignment horizontal="center" vertical="center"/>
      <protection locked="0"/>
    </xf>
    <xf numFmtId="169" fontId="15" fillId="8" borderId="39" xfId="0" applyNumberFormat="1" applyFont="1" applyFill="1" applyBorder="1" applyAlignment="1" applyProtection="1">
      <alignment horizontal="center" vertical="center"/>
      <protection locked="0"/>
    </xf>
    <xf numFmtId="165" fontId="15" fillId="25" borderId="39" xfId="0" applyNumberFormat="1" applyFont="1" applyFill="1" applyBorder="1" applyAlignment="1">
      <alignment vertical="center"/>
    </xf>
    <xf numFmtId="10" fontId="10" fillId="37" borderId="43" xfId="1" applyNumberFormat="1" applyFont="1" applyFill="1" applyBorder="1" applyAlignment="1" applyProtection="1">
      <alignment horizontal="center" vertical="center"/>
    </xf>
    <xf numFmtId="49" fontId="36" fillId="8" borderId="39" xfId="0" applyNumberFormat="1" applyFont="1" applyFill="1" applyBorder="1" applyAlignment="1" applyProtection="1">
      <alignment horizontal="center" vertical="center" wrapText="1"/>
      <protection locked="0"/>
    </xf>
    <xf numFmtId="49" fontId="36" fillId="8" borderId="44" xfId="0" applyNumberFormat="1" applyFont="1" applyFill="1" applyBorder="1" applyAlignment="1" applyProtection="1">
      <alignment horizontal="center" vertical="center" wrapText="1"/>
      <protection locked="0"/>
    </xf>
    <xf numFmtId="0" fontId="6" fillId="8" borderId="44" xfId="0" applyFont="1" applyFill="1" applyBorder="1" applyAlignment="1" applyProtection="1">
      <alignment horizontal="center" vertical="center"/>
      <protection locked="0"/>
    </xf>
    <xf numFmtId="49" fontId="36" fillId="4" borderId="44" xfId="0" applyNumberFormat="1" applyFont="1" applyFill="1" applyBorder="1" applyAlignment="1" applyProtection="1">
      <alignment horizontal="center" vertical="center" wrapText="1"/>
      <protection locked="0"/>
    </xf>
    <xf numFmtId="0" fontId="6" fillId="4" borderId="44" xfId="0" applyFont="1" applyFill="1" applyBorder="1" applyAlignment="1" applyProtection="1">
      <alignment horizontal="center" vertical="center"/>
      <protection locked="0"/>
    </xf>
    <xf numFmtId="49" fontId="36" fillId="4" borderId="45" xfId="0" applyNumberFormat="1" applyFont="1" applyFill="1" applyBorder="1" applyAlignment="1" applyProtection="1">
      <alignment horizontal="center" vertical="center" wrapText="1"/>
      <protection locked="0"/>
    </xf>
    <xf numFmtId="0" fontId="6" fillId="4" borderId="45" xfId="0" applyFont="1" applyFill="1" applyBorder="1" applyAlignment="1" applyProtection="1">
      <alignment horizontal="center" vertical="center"/>
      <protection locked="0"/>
    </xf>
    <xf numFmtId="165" fontId="15" fillId="28" borderId="39" xfId="0" applyNumberFormat="1" applyFont="1" applyFill="1" applyBorder="1" applyAlignment="1">
      <alignment vertical="center"/>
    </xf>
    <xf numFmtId="9" fontId="15" fillId="28" borderId="39" xfId="1" applyFont="1" applyFill="1" applyBorder="1" applyAlignment="1" applyProtection="1">
      <alignment horizontal="center" vertical="center"/>
    </xf>
    <xf numFmtId="165" fontId="15" fillId="25" borderId="44" xfId="0" applyNumberFormat="1" applyFont="1" applyFill="1" applyBorder="1" applyAlignment="1">
      <alignment vertical="center"/>
    </xf>
    <xf numFmtId="165" fontId="15" fillId="8" borderId="44" xfId="0" applyNumberFormat="1" applyFont="1" applyFill="1" applyBorder="1" applyAlignment="1" applyProtection="1">
      <alignment vertical="center"/>
      <protection locked="0"/>
    </xf>
    <xf numFmtId="165" fontId="15" fillId="28" borderId="44" xfId="0" applyNumberFormat="1" applyFont="1" applyFill="1" applyBorder="1" applyAlignment="1">
      <alignment vertical="center"/>
    </xf>
    <xf numFmtId="9" fontId="15" fillId="28" borderId="44" xfId="1" applyFont="1" applyFill="1" applyBorder="1" applyAlignment="1" applyProtection="1">
      <alignment horizontal="center" vertical="center"/>
    </xf>
    <xf numFmtId="165" fontId="15" fillId="8" borderId="44" xfId="0" applyNumberFormat="1" applyFont="1" applyFill="1" applyBorder="1" applyAlignment="1" applyProtection="1">
      <alignment horizontal="center" vertical="center"/>
      <protection locked="0"/>
    </xf>
    <xf numFmtId="169" fontId="15" fillId="8" borderId="44" xfId="0" applyNumberFormat="1" applyFont="1" applyFill="1" applyBorder="1" applyAlignment="1" applyProtection="1">
      <alignment horizontal="center" vertical="center"/>
      <protection locked="0"/>
    </xf>
    <xf numFmtId="165" fontId="15" fillId="4" borderId="44" xfId="0" applyNumberFormat="1" applyFont="1" applyFill="1" applyBorder="1" applyAlignment="1" applyProtection="1">
      <alignment vertical="center"/>
      <protection locked="0"/>
    </xf>
    <xf numFmtId="165" fontId="15" fillId="4" borderId="45" xfId="0" applyNumberFormat="1" applyFont="1" applyFill="1" applyBorder="1" applyAlignment="1" applyProtection="1">
      <alignment vertical="center"/>
      <protection locked="0"/>
    </xf>
    <xf numFmtId="165" fontId="15" fillId="4" borderId="44" xfId="0" applyNumberFormat="1" applyFont="1" applyFill="1" applyBorder="1" applyAlignment="1" applyProtection="1">
      <alignment horizontal="center" vertical="center"/>
      <protection locked="0"/>
    </xf>
    <xf numFmtId="169" fontId="15" fillId="4" borderId="44" xfId="0" applyNumberFormat="1" applyFont="1" applyFill="1" applyBorder="1" applyAlignment="1" applyProtection="1">
      <alignment horizontal="center" vertical="center"/>
      <protection locked="0"/>
    </xf>
    <xf numFmtId="165" fontId="15" fillId="4" borderId="45" xfId="0" applyNumberFormat="1" applyFont="1" applyFill="1" applyBorder="1" applyAlignment="1" applyProtection="1">
      <alignment horizontal="center" vertical="center"/>
      <protection locked="0"/>
    </xf>
    <xf numFmtId="169" fontId="15" fillId="4" borderId="45" xfId="0" applyNumberFormat="1" applyFont="1" applyFill="1" applyBorder="1" applyAlignment="1" applyProtection="1">
      <alignment horizontal="center" vertical="center"/>
      <protection locked="0"/>
    </xf>
    <xf numFmtId="165" fontId="15" fillId="8" borderId="44" xfId="0" applyNumberFormat="1" applyFont="1" applyFill="1" applyBorder="1" applyAlignment="1">
      <alignment vertical="center"/>
    </xf>
    <xf numFmtId="9" fontId="15" fillId="8" borderId="44" xfId="1" applyFont="1" applyFill="1" applyBorder="1" applyAlignment="1" applyProtection="1">
      <alignment horizontal="center" vertical="center"/>
    </xf>
    <xf numFmtId="165" fontId="15" fillId="8" borderId="45" xfId="0" applyNumberFormat="1" applyFont="1" applyFill="1" applyBorder="1" applyAlignment="1">
      <alignment vertical="center"/>
    </xf>
    <xf numFmtId="9" fontId="15" fillId="8" borderId="45" xfId="1" applyFont="1" applyFill="1" applyBorder="1" applyAlignment="1" applyProtection="1">
      <alignment horizontal="center" vertical="center"/>
    </xf>
    <xf numFmtId="49" fontId="3" fillId="13" borderId="40" xfId="0" applyNumberFormat="1" applyFont="1" applyFill="1" applyBorder="1" applyAlignment="1">
      <alignment horizontal="center" vertical="center" wrapText="1"/>
    </xf>
    <xf numFmtId="0" fontId="6" fillId="13" borderId="41" xfId="0" applyFont="1" applyFill="1" applyBorder="1" applyAlignment="1">
      <alignment horizontal="center" vertical="center"/>
    </xf>
    <xf numFmtId="0" fontId="6" fillId="13" borderId="42" xfId="0" applyFont="1" applyFill="1" applyBorder="1" applyAlignment="1">
      <alignment horizontal="center" vertical="center"/>
    </xf>
    <xf numFmtId="165" fontId="10" fillId="13" borderId="43" xfId="0" applyNumberFormat="1" applyFont="1" applyFill="1" applyBorder="1" applyAlignment="1">
      <alignment horizontal="center" vertical="center"/>
    </xf>
    <xf numFmtId="165" fontId="10" fillId="13" borderId="43" xfId="0" applyNumberFormat="1" applyFont="1" applyFill="1" applyBorder="1" applyAlignment="1">
      <alignment vertical="center"/>
    </xf>
    <xf numFmtId="165" fontId="10" fillId="37" borderId="43" xfId="0" applyNumberFormat="1" applyFont="1" applyFill="1" applyBorder="1" applyAlignment="1">
      <alignment horizontal="center" vertical="center"/>
    </xf>
    <xf numFmtId="169" fontId="15" fillId="13" borderId="43" xfId="0" applyNumberFormat="1" applyFont="1" applyFill="1" applyBorder="1" applyAlignment="1">
      <alignment horizontal="center" vertical="center"/>
    </xf>
    <xf numFmtId="0" fontId="13" fillId="32" borderId="0" xfId="0" applyFont="1" applyFill="1"/>
    <xf numFmtId="0" fontId="16" fillId="32" borderId="0" xfId="0" applyFont="1" applyFill="1" applyAlignment="1" applyProtection="1">
      <alignment vertical="center"/>
      <protection locked="0"/>
    </xf>
    <xf numFmtId="0" fontId="15" fillId="32" borderId="0" xfId="0" applyFont="1" applyFill="1" applyAlignment="1" applyProtection="1">
      <alignment vertical="center"/>
      <protection locked="0"/>
    </xf>
    <xf numFmtId="165" fontId="3" fillId="25" borderId="10" xfId="0" applyNumberFormat="1" applyFont="1" applyFill="1" applyBorder="1" applyAlignment="1">
      <alignment horizontal="center" vertical="center"/>
    </xf>
    <xf numFmtId="165" fontId="3" fillId="14" borderId="10" xfId="0" applyNumberFormat="1" applyFont="1" applyFill="1" applyBorder="1" applyAlignment="1">
      <alignment horizontal="center" vertical="center"/>
    </xf>
    <xf numFmtId="0" fontId="10" fillId="30" borderId="47" xfId="0" applyFont="1" applyFill="1" applyBorder="1" applyAlignment="1">
      <alignment horizontal="center" vertical="center" wrapText="1"/>
    </xf>
    <xf numFmtId="0" fontId="10" fillId="20" borderId="47" xfId="0" applyFont="1" applyFill="1" applyBorder="1" applyAlignment="1">
      <alignment horizontal="center" vertical="center" wrapText="1"/>
    </xf>
    <xf numFmtId="0" fontId="10" fillId="20" borderId="47" xfId="0" applyFont="1" applyFill="1" applyBorder="1" applyAlignment="1">
      <alignment horizontal="center" vertical="center"/>
    </xf>
    <xf numFmtId="0" fontId="3" fillId="39" borderId="10" xfId="0" applyFont="1" applyFill="1" applyBorder="1" applyAlignment="1" applyProtection="1">
      <alignment horizontal="center" vertical="center"/>
      <protection locked="0"/>
    </xf>
    <xf numFmtId="0" fontId="3" fillId="35" borderId="9" xfId="0" applyFont="1" applyFill="1" applyBorder="1" applyAlignment="1" applyProtection="1">
      <alignment horizontal="center" vertical="center"/>
      <protection locked="0"/>
    </xf>
    <xf numFmtId="0" fontId="3" fillId="39" borderId="9" xfId="0" applyFont="1" applyFill="1" applyBorder="1" applyAlignment="1" applyProtection="1">
      <alignment horizontal="center" vertical="center"/>
      <protection locked="0"/>
    </xf>
    <xf numFmtId="165" fontId="3" fillId="6" borderId="9" xfId="2" applyFont="1" applyFill="1" applyBorder="1" applyAlignment="1" applyProtection="1">
      <alignment horizontal="center" vertical="center"/>
    </xf>
    <xf numFmtId="165" fontId="3" fillId="11" borderId="9" xfId="2" applyFont="1" applyFill="1" applyBorder="1" applyAlignment="1" applyProtection="1">
      <alignment horizontal="center" vertical="center"/>
    </xf>
    <xf numFmtId="9" fontId="3" fillId="6" borderId="9" xfId="1" applyFont="1" applyFill="1" applyBorder="1" applyAlignment="1" applyProtection="1">
      <alignment horizontal="center" vertical="center"/>
    </xf>
    <xf numFmtId="165" fontId="3" fillId="6" borderId="10" xfId="2" applyFont="1" applyFill="1" applyBorder="1" applyAlignment="1" applyProtection="1">
      <alignment horizontal="center" vertical="center"/>
    </xf>
    <xf numFmtId="9" fontId="3" fillId="11" borderId="9" xfId="1" applyFont="1" applyFill="1" applyBorder="1" applyAlignment="1" applyProtection="1">
      <alignment horizontal="center" vertical="center"/>
    </xf>
    <xf numFmtId="165" fontId="3" fillId="11" borderId="10" xfId="2" applyFont="1" applyFill="1" applyBorder="1" applyAlignment="1" applyProtection="1">
      <alignment horizontal="center" vertical="center"/>
    </xf>
    <xf numFmtId="165" fontId="15" fillId="39" borderId="10" xfId="2" applyFont="1" applyFill="1" applyBorder="1" applyAlignment="1" applyProtection="1">
      <alignment horizontal="center" vertical="center"/>
      <protection locked="0"/>
    </xf>
    <xf numFmtId="0" fontId="3" fillId="35" borderId="10" xfId="0" applyFont="1" applyFill="1" applyBorder="1" applyAlignment="1" applyProtection="1">
      <alignment horizontal="center" vertical="center"/>
      <protection locked="0"/>
    </xf>
    <xf numFmtId="165" fontId="15" fillId="35" borderId="10" xfId="2" applyFont="1" applyFill="1" applyBorder="1" applyAlignment="1" applyProtection="1">
      <alignment horizontal="center" vertical="center"/>
      <protection locked="0"/>
    </xf>
    <xf numFmtId="165" fontId="38" fillId="35" borderId="10" xfId="2" applyFont="1" applyFill="1" applyBorder="1" applyProtection="1">
      <protection locked="0"/>
    </xf>
    <xf numFmtId="0" fontId="6" fillId="15" borderId="22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 wrapText="1"/>
    </xf>
    <xf numFmtId="0" fontId="34" fillId="20" borderId="6" xfId="0" applyFont="1" applyFill="1" applyBorder="1" applyAlignment="1">
      <alignment horizontal="center" vertical="center" wrapText="1"/>
    </xf>
    <xf numFmtId="0" fontId="41" fillId="21" borderId="0" xfId="0" applyFont="1" applyFill="1"/>
    <xf numFmtId="0" fontId="41" fillId="21" borderId="0" xfId="0" applyFont="1" applyFill="1" applyAlignment="1">
      <alignment vertical="center"/>
    </xf>
    <xf numFmtId="165" fontId="41" fillId="21" borderId="0" xfId="0" applyNumberFormat="1" applyFont="1" applyFill="1"/>
    <xf numFmtId="167" fontId="41" fillId="21" borderId="0" xfId="1" applyNumberFormat="1" applyFont="1" applyFill="1" applyBorder="1"/>
    <xf numFmtId="165" fontId="41" fillId="21" borderId="4" xfId="0" applyNumberFormat="1" applyFont="1" applyFill="1" applyBorder="1" applyAlignment="1">
      <alignment horizontal="center" vertical="center"/>
    </xf>
    <xf numFmtId="167" fontId="41" fillId="21" borderId="4" xfId="0" applyNumberFormat="1" applyFont="1" applyFill="1" applyBorder="1" applyAlignment="1">
      <alignment horizontal="center" vertical="center"/>
    </xf>
    <xf numFmtId="0" fontId="41" fillId="21" borderId="4" xfId="0" applyFont="1" applyFill="1" applyBorder="1" applyAlignment="1">
      <alignment horizontal="center" vertical="center"/>
    </xf>
    <xf numFmtId="0" fontId="41" fillId="21" borderId="0" xfId="0" applyFont="1" applyFill="1" applyAlignment="1">
      <alignment horizontal="center" vertical="center"/>
    </xf>
    <xf numFmtId="10" fontId="41" fillId="21" borderId="4" xfId="0" applyNumberFormat="1" applyFont="1" applyFill="1" applyBorder="1" applyAlignment="1">
      <alignment horizontal="center" vertical="center"/>
    </xf>
    <xf numFmtId="168" fontId="41" fillId="21" borderId="4" xfId="0" applyNumberFormat="1" applyFont="1" applyFill="1" applyBorder="1" applyAlignment="1">
      <alignment horizontal="center" vertical="center"/>
    </xf>
    <xf numFmtId="171" fontId="41" fillId="21" borderId="4" xfId="0" applyNumberFormat="1" applyFont="1" applyFill="1" applyBorder="1" applyAlignment="1">
      <alignment horizontal="center" vertical="center"/>
    </xf>
    <xf numFmtId="171" fontId="41" fillId="21" borderId="0" xfId="0" applyNumberFormat="1" applyFont="1" applyFill="1" applyAlignment="1">
      <alignment horizontal="center" vertical="center"/>
    </xf>
    <xf numFmtId="9" fontId="41" fillId="21" borderId="0" xfId="0" applyNumberFormat="1" applyFont="1" applyFill="1"/>
    <xf numFmtId="173" fontId="41" fillId="21" borderId="0" xfId="0" applyNumberFormat="1" applyFont="1" applyFill="1"/>
    <xf numFmtId="171" fontId="41" fillId="21" borderId="0" xfId="0" applyNumberFormat="1" applyFont="1" applyFill="1"/>
    <xf numFmtId="0" fontId="41" fillId="21" borderId="8" xfId="0" applyFont="1" applyFill="1" applyBorder="1"/>
    <xf numFmtId="165" fontId="41" fillId="21" borderId="3" xfId="0" applyNumberFormat="1" applyFont="1" applyFill="1" applyBorder="1"/>
    <xf numFmtId="0" fontId="41" fillId="21" borderId="11" xfId="0" applyFont="1" applyFill="1" applyBorder="1"/>
    <xf numFmtId="0" fontId="41" fillId="21" borderId="9" xfId="0" applyFont="1" applyFill="1" applyBorder="1"/>
    <xf numFmtId="165" fontId="41" fillId="21" borderId="20" xfId="0" applyNumberFormat="1" applyFont="1" applyFill="1" applyBorder="1"/>
    <xf numFmtId="10" fontId="41" fillId="21" borderId="0" xfId="1" applyNumberFormat="1" applyFont="1" applyFill="1" applyBorder="1"/>
    <xf numFmtId="0" fontId="41" fillId="21" borderId="20" xfId="0" applyFont="1" applyFill="1" applyBorder="1"/>
    <xf numFmtId="0" fontId="41" fillId="21" borderId="23" xfId="0" applyFont="1" applyFill="1" applyBorder="1"/>
    <xf numFmtId="165" fontId="41" fillId="21" borderId="7" xfId="0" applyNumberFormat="1" applyFont="1" applyFill="1" applyBorder="1"/>
    <xf numFmtId="0" fontId="41" fillId="21" borderId="18" xfId="0" applyFont="1" applyFill="1" applyBorder="1"/>
    <xf numFmtId="0" fontId="41" fillId="21" borderId="3" xfId="0" applyFont="1" applyFill="1" applyBorder="1"/>
    <xf numFmtId="9" fontId="41" fillId="21" borderId="9" xfId="0" applyNumberFormat="1" applyFont="1" applyFill="1" applyBorder="1"/>
    <xf numFmtId="165" fontId="41" fillId="21" borderId="9" xfId="0" applyNumberFormat="1" applyFont="1" applyFill="1" applyBorder="1"/>
    <xf numFmtId="0" fontId="41" fillId="21" borderId="7" xfId="0" applyFont="1" applyFill="1" applyBorder="1"/>
    <xf numFmtId="1" fontId="41" fillId="21" borderId="0" xfId="0" applyNumberFormat="1" applyFont="1" applyFill="1"/>
    <xf numFmtId="0" fontId="41" fillId="21" borderId="9" xfId="0" applyFont="1" applyFill="1" applyBorder="1" applyAlignment="1">
      <alignment vertical="center"/>
    </xf>
    <xf numFmtId="177" fontId="6" fillId="31" borderId="21" xfId="0" applyNumberFormat="1" applyFont="1" applyFill="1" applyBorder="1" applyAlignment="1">
      <alignment horizontal="center" vertical="center"/>
    </xf>
    <xf numFmtId="0" fontId="8" fillId="9" borderId="19" xfId="0" applyFont="1" applyFill="1" applyBorder="1" applyAlignment="1">
      <alignment horizontal="center" vertical="center"/>
    </xf>
    <xf numFmtId="0" fontId="6" fillId="39" borderId="0" xfId="0" applyFont="1" applyFill="1" applyAlignment="1" applyProtection="1">
      <alignment horizontal="center" vertical="center"/>
      <protection locked="0"/>
    </xf>
    <xf numFmtId="0" fontId="6" fillId="39" borderId="20" xfId="0" applyFont="1" applyFill="1" applyBorder="1" applyAlignment="1" applyProtection="1">
      <alignment horizontal="center" vertical="center"/>
      <protection locked="0"/>
    </xf>
    <xf numFmtId="165" fontId="14" fillId="27" borderId="5" xfId="1" applyNumberFormat="1" applyFont="1" applyFill="1" applyBorder="1" applyAlignment="1">
      <alignment horizontal="center" vertical="center"/>
    </xf>
    <xf numFmtId="165" fontId="14" fillId="27" borderId="6" xfId="1" applyNumberFormat="1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165" fontId="2" fillId="29" borderId="5" xfId="0" applyNumberFormat="1" applyFont="1" applyFill="1" applyBorder="1" applyAlignment="1">
      <alignment horizontal="center" vertical="center"/>
    </xf>
    <xf numFmtId="165" fontId="2" fillId="29" borderId="6" xfId="0" applyNumberFormat="1" applyFont="1" applyFill="1" applyBorder="1" applyAlignment="1">
      <alignment horizontal="center" vertical="center"/>
    </xf>
    <xf numFmtId="10" fontId="14" fillId="27" borderId="5" xfId="1" applyNumberFormat="1" applyFont="1" applyFill="1" applyBorder="1" applyAlignment="1" applyProtection="1">
      <alignment horizontal="center" vertical="center"/>
    </xf>
    <xf numFmtId="10" fontId="14" fillId="27" borderId="6" xfId="1" applyNumberFormat="1" applyFont="1" applyFill="1" applyBorder="1" applyAlignment="1" applyProtection="1">
      <alignment horizontal="center" vertical="center"/>
    </xf>
    <xf numFmtId="165" fontId="14" fillId="27" borderId="4" xfId="1" applyNumberFormat="1" applyFont="1" applyFill="1" applyBorder="1" applyAlignment="1" applyProtection="1">
      <alignment horizontal="center" vertical="center"/>
    </xf>
    <xf numFmtId="0" fontId="7" fillId="10" borderId="4" xfId="0" applyFont="1" applyFill="1" applyBorder="1" applyAlignment="1">
      <alignment horizontal="center" vertical="center"/>
    </xf>
    <xf numFmtId="10" fontId="14" fillId="26" borderId="5" xfId="1" applyNumberFormat="1" applyFont="1" applyFill="1" applyBorder="1" applyAlignment="1" applyProtection="1">
      <alignment horizontal="center" vertical="center"/>
      <protection locked="0"/>
    </xf>
    <xf numFmtId="10" fontId="14" fillId="26" borderId="6" xfId="1" applyNumberFormat="1" applyFont="1" applyFill="1" applyBorder="1" applyAlignment="1" applyProtection="1">
      <alignment horizontal="center" vertical="center"/>
      <protection locked="0"/>
    </xf>
    <xf numFmtId="10" fontId="6" fillId="26" borderId="4" xfId="1" applyNumberFormat="1" applyFont="1" applyFill="1" applyBorder="1" applyAlignment="1" applyProtection="1">
      <alignment horizontal="center" vertical="center"/>
      <protection locked="0"/>
    </xf>
    <xf numFmtId="165" fontId="6" fillId="27" borderId="4" xfId="1" applyNumberFormat="1" applyFont="1" applyFill="1" applyBorder="1" applyAlignment="1">
      <alignment horizontal="center" vertical="center"/>
    </xf>
    <xf numFmtId="165" fontId="14" fillId="27" borderId="4" xfId="1" applyNumberFormat="1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29" borderId="11" xfId="0" applyFont="1" applyFill="1" applyBorder="1" applyAlignment="1">
      <alignment horizontal="center" vertical="center"/>
    </xf>
    <xf numFmtId="0" fontId="8" fillId="29" borderId="7" xfId="0" applyFont="1" applyFill="1" applyBorder="1" applyAlignment="1">
      <alignment horizontal="center" vertical="center"/>
    </xf>
    <xf numFmtId="0" fontId="8" fillId="29" borderId="18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167" fontId="2" fillId="10" borderId="5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166" fontId="24" fillId="27" borderId="3" xfId="0" applyNumberFormat="1" applyFont="1" applyFill="1" applyBorder="1" applyAlignment="1">
      <alignment horizontal="center" vertical="center"/>
    </xf>
    <xf numFmtId="166" fontId="24" fillId="27" borderId="0" xfId="0" applyNumberFormat="1" applyFont="1" applyFill="1" applyAlignment="1">
      <alignment horizontal="center" vertical="center"/>
    </xf>
    <xf numFmtId="175" fontId="2" fillId="30" borderId="10" xfId="0" applyNumberFormat="1" applyFont="1" applyFill="1" applyBorder="1" applyAlignment="1">
      <alignment horizontal="center" vertical="center"/>
    </xf>
    <xf numFmtId="175" fontId="2" fillId="30" borderId="6" xfId="0" applyNumberFormat="1" applyFont="1" applyFill="1" applyBorder="1" applyAlignment="1">
      <alignment horizontal="center" vertical="center"/>
    </xf>
    <xf numFmtId="0" fontId="6" fillId="35" borderId="0" xfId="0" applyFont="1" applyFill="1" applyAlignment="1" applyProtection="1">
      <alignment horizontal="center" vertical="center"/>
      <protection locked="0"/>
    </xf>
    <xf numFmtId="0" fontId="6" fillId="35" borderId="20" xfId="0" applyFont="1" applyFill="1" applyBorder="1" applyAlignment="1" applyProtection="1">
      <alignment horizontal="center" vertical="center"/>
      <protection locked="0"/>
    </xf>
    <xf numFmtId="165" fontId="14" fillId="26" borderId="4" xfId="1" applyNumberFormat="1" applyFont="1" applyFill="1" applyBorder="1" applyAlignment="1" applyProtection="1">
      <alignment horizontal="center" vertical="center"/>
      <protection locked="0"/>
    </xf>
    <xf numFmtId="10" fontId="14" fillId="27" borderId="5" xfId="1" applyNumberFormat="1" applyFont="1" applyFill="1" applyBorder="1" applyAlignment="1">
      <alignment horizontal="center" vertical="center"/>
    </xf>
    <xf numFmtId="10" fontId="14" fillId="27" borderId="6" xfId="1" applyNumberFormat="1" applyFont="1" applyFill="1" applyBorder="1" applyAlignment="1">
      <alignment horizontal="center" vertical="center"/>
    </xf>
    <xf numFmtId="10" fontId="24" fillId="27" borderId="5" xfId="1" applyNumberFormat="1" applyFont="1" applyFill="1" applyBorder="1" applyAlignment="1">
      <alignment horizontal="center" vertical="center"/>
    </xf>
    <xf numFmtId="10" fontId="24" fillId="27" borderId="10" xfId="1" applyNumberFormat="1" applyFont="1" applyFill="1" applyBorder="1" applyAlignment="1">
      <alignment horizontal="center" vertical="center"/>
    </xf>
    <xf numFmtId="0" fontId="8" fillId="29" borderId="12" xfId="0" applyFont="1" applyFill="1" applyBorder="1" applyAlignment="1">
      <alignment horizontal="center" vertical="center"/>
    </xf>
    <xf numFmtId="0" fontId="8" fillId="29" borderId="38" xfId="0" applyFont="1" applyFill="1" applyBorder="1" applyAlignment="1">
      <alignment horizontal="center" vertical="center"/>
    </xf>
    <xf numFmtId="165" fontId="2" fillId="30" borderId="5" xfId="0" applyNumberFormat="1" applyFont="1" applyFill="1" applyBorder="1" applyAlignment="1">
      <alignment horizontal="center" vertical="center"/>
    </xf>
    <xf numFmtId="165" fontId="2" fillId="30" borderId="6" xfId="0" applyNumberFormat="1" applyFont="1" applyFill="1" applyBorder="1" applyAlignment="1">
      <alignment horizontal="center" vertical="center"/>
    </xf>
    <xf numFmtId="165" fontId="10" fillId="20" borderId="5" xfId="0" applyNumberFormat="1" applyFont="1" applyFill="1" applyBorder="1" applyAlignment="1">
      <alignment horizontal="center" vertical="center"/>
    </xf>
    <xf numFmtId="165" fontId="10" fillId="20" borderId="6" xfId="0" applyNumberFormat="1" applyFont="1" applyFill="1" applyBorder="1" applyAlignment="1">
      <alignment horizontal="center" vertical="center"/>
    </xf>
    <xf numFmtId="0" fontId="2" fillId="30" borderId="5" xfId="0" applyFont="1" applyFill="1" applyBorder="1" applyAlignment="1">
      <alignment horizontal="center" vertical="center"/>
    </xf>
    <xf numFmtId="0" fontId="2" fillId="30" borderId="6" xfId="0" applyFont="1" applyFill="1" applyBorder="1" applyAlignment="1">
      <alignment horizontal="center" vertical="center"/>
    </xf>
    <xf numFmtId="164" fontId="2" fillId="30" borderId="5" xfId="2" applyNumberFormat="1" applyFont="1" applyFill="1" applyBorder="1" applyAlignment="1">
      <alignment horizontal="center" vertical="center"/>
    </xf>
    <xf numFmtId="164" fontId="2" fillId="30" borderId="6" xfId="2" applyNumberFormat="1" applyFont="1" applyFill="1" applyBorder="1" applyAlignment="1">
      <alignment horizontal="center" vertical="center"/>
    </xf>
    <xf numFmtId="9" fontId="10" fillId="20" borderId="5" xfId="1" applyFont="1" applyFill="1" applyBorder="1" applyAlignment="1">
      <alignment horizontal="center" vertical="center"/>
    </xf>
    <xf numFmtId="9" fontId="10" fillId="20" borderId="6" xfId="1" applyFont="1" applyFill="1" applyBorder="1" applyAlignment="1">
      <alignment horizontal="center" vertical="center"/>
    </xf>
    <xf numFmtId="0" fontId="12" fillId="15" borderId="21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6" fillId="15" borderId="46" xfId="0" applyFont="1" applyFill="1" applyBorder="1" applyAlignment="1">
      <alignment horizontal="center" vertical="center"/>
    </xf>
    <xf numFmtId="166" fontId="6" fillId="31" borderId="21" xfId="0" applyNumberFormat="1" applyFont="1" applyFill="1" applyBorder="1" applyAlignment="1">
      <alignment horizontal="center" vertical="center"/>
    </xf>
    <xf numFmtId="165" fontId="6" fillId="31" borderId="21" xfId="0" applyNumberFormat="1" applyFont="1" applyFill="1" applyBorder="1" applyAlignment="1">
      <alignment horizontal="center" vertical="center"/>
    </xf>
    <xf numFmtId="10" fontId="7" fillId="27" borderId="4" xfId="1" applyNumberFormat="1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9" fillId="16" borderId="0" xfId="0" applyFont="1" applyFill="1" applyAlignment="1">
      <alignment horizontal="center" vertical="center"/>
    </xf>
    <xf numFmtId="165" fontId="8" fillId="16" borderId="22" xfId="0" applyNumberFormat="1" applyFont="1" applyFill="1" applyBorder="1" applyAlignment="1">
      <alignment horizontal="center" vertical="center"/>
    </xf>
    <xf numFmtId="165" fontId="8" fillId="16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7" fillId="12" borderId="5" xfId="0" applyFont="1" applyFill="1" applyBorder="1" applyAlignment="1" applyProtection="1">
      <alignment horizontal="center" vertical="center"/>
      <protection locked="0"/>
    </xf>
    <xf numFmtId="0" fontId="27" fillId="12" borderId="10" xfId="0" applyFont="1" applyFill="1" applyBorder="1" applyAlignment="1" applyProtection="1">
      <alignment horizontal="center" vertical="center"/>
      <protection locked="0"/>
    </xf>
    <xf numFmtId="0" fontId="27" fillId="12" borderId="6" xfId="0" applyFont="1" applyFill="1" applyBorder="1" applyAlignment="1" applyProtection="1">
      <alignment horizontal="center" vertical="center"/>
      <protection locked="0"/>
    </xf>
    <xf numFmtId="0" fontId="26" fillId="4" borderId="11" xfId="0" applyFont="1" applyFill="1" applyBorder="1" applyAlignment="1" applyProtection="1">
      <alignment horizontal="center" vertical="center"/>
      <protection locked="0"/>
    </xf>
    <xf numFmtId="0" fontId="26" fillId="4" borderId="20" xfId="0" applyFont="1" applyFill="1" applyBorder="1" applyAlignment="1" applyProtection="1">
      <alignment horizontal="center" vertical="center"/>
      <protection locked="0"/>
    </xf>
    <xf numFmtId="0" fontId="26" fillId="4" borderId="18" xfId="0" applyFont="1" applyFill="1" applyBorder="1" applyAlignment="1" applyProtection="1">
      <alignment horizontal="center" vertical="center"/>
      <protection locked="0"/>
    </xf>
    <xf numFmtId="10" fontId="2" fillId="29" borderId="5" xfId="1" applyNumberFormat="1" applyFont="1" applyFill="1" applyBorder="1" applyAlignment="1">
      <alignment horizontal="center" vertical="center"/>
    </xf>
    <xf numFmtId="10" fontId="2" fillId="29" borderId="6" xfId="1" applyNumberFormat="1" applyFont="1" applyFill="1" applyBorder="1" applyAlignment="1">
      <alignment horizontal="center" vertical="center"/>
    </xf>
    <xf numFmtId="165" fontId="7" fillId="9" borderId="8" xfId="0" applyNumberFormat="1" applyFont="1" applyFill="1" applyBorder="1" applyAlignment="1">
      <alignment horizontal="center" vertical="center"/>
    </xf>
    <xf numFmtId="165" fontId="7" fillId="9" borderId="23" xfId="0" applyNumberFormat="1" applyFont="1" applyFill="1" applyBorder="1" applyAlignment="1">
      <alignment horizontal="center" vertical="center"/>
    </xf>
    <xf numFmtId="165" fontId="7" fillId="18" borderId="11" xfId="0" applyNumberFormat="1" applyFont="1" applyFill="1" applyBorder="1" applyAlignment="1" applyProtection="1">
      <alignment horizontal="center" vertical="center"/>
      <protection locked="0"/>
    </xf>
    <xf numFmtId="165" fontId="7" fillId="18" borderId="18" xfId="0" applyNumberFormat="1" applyFont="1" applyFill="1" applyBorder="1" applyAlignment="1" applyProtection="1">
      <alignment horizontal="center" vertical="center"/>
      <protection locked="0"/>
    </xf>
    <xf numFmtId="0" fontId="31" fillId="13" borderId="36" xfId="0" applyFont="1" applyFill="1" applyBorder="1" applyAlignment="1">
      <alignment horizontal="center" vertical="center"/>
    </xf>
    <xf numFmtId="176" fontId="32" fillId="13" borderId="36" xfId="0" applyNumberFormat="1" applyFont="1" applyFill="1" applyBorder="1" applyAlignment="1">
      <alignment horizontal="center" vertical="center"/>
    </xf>
    <xf numFmtId="0" fontId="13" fillId="32" borderId="0" xfId="0" applyFont="1" applyFill="1" applyAlignment="1">
      <alignment horizontal="right" vertical="center"/>
    </xf>
    <xf numFmtId="0" fontId="16" fillId="32" borderId="0" xfId="0" applyFont="1" applyFill="1" applyAlignment="1" applyProtection="1">
      <alignment horizontal="left" vertical="center"/>
      <protection locked="0"/>
    </xf>
    <xf numFmtId="0" fontId="24" fillId="32" borderId="0" xfId="0" applyFont="1" applyFill="1" applyAlignment="1">
      <alignment horizontal="center"/>
    </xf>
    <xf numFmtId="0" fontId="37" fillId="32" borderId="0" xfId="0" applyFont="1" applyFill="1" applyAlignment="1" applyProtection="1">
      <alignment horizontal="left" vertical="center"/>
      <protection locked="0"/>
    </xf>
    <xf numFmtId="0" fontId="6" fillId="6" borderId="1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9" fontId="25" fillId="27" borderId="5" xfId="1" applyFont="1" applyFill="1" applyBorder="1" applyAlignment="1">
      <alignment horizontal="center" vertical="center"/>
    </xf>
    <xf numFmtId="9" fontId="25" fillId="27" borderId="10" xfId="1" applyFont="1" applyFill="1" applyBorder="1" applyAlignment="1">
      <alignment horizontal="center" vertical="center"/>
    </xf>
    <xf numFmtId="9" fontId="24" fillId="27" borderId="5" xfId="1" applyFont="1" applyFill="1" applyBorder="1" applyAlignment="1">
      <alignment horizontal="center" vertical="center"/>
    </xf>
    <xf numFmtId="9" fontId="24" fillId="27" borderId="6" xfId="1" applyFont="1" applyFill="1" applyBorder="1" applyAlignment="1">
      <alignment horizontal="center" vertical="center"/>
    </xf>
    <xf numFmtId="166" fontId="24" fillId="27" borderId="5" xfId="0" applyNumberFormat="1" applyFont="1" applyFill="1" applyBorder="1" applyAlignment="1">
      <alignment horizontal="center" vertical="center"/>
    </xf>
    <xf numFmtId="166" fontId="24" fillId="27" borderId="6" xfId="0" applyNumberFormat="1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23" xfId="0" applyFont="1" applyFill="1" applyBorder="1" applyAlignment="1">
      <alignment horizontal="center" vertical="center"/>
    </xf>
    <xf numFmtId="9" fontId="14" fillId="26" borderId="5" xfId="1" applyFont="1" applyFill="1" applyBorder="1" applyAlignment="1" applyProtection="1">
      <alignment horizontal="center" vertical="center"/>
      <protection locked="0"/>
    </xf>
    <xf numFmtId="9" fontId="14" fillId="26" borderId="6" xfId="1" applyFont="1" applyFill="1" applyBorder="1" applyAlignment="1" applyProtection="1">
      <alignment horizontal="center" vertical="center"/>
      <protection locked="0"/>
    </xf>
    <xf numFmtId="9" fontId="14" fillId="27" borderId="5" xfId="1" applyFont="1" applyFill="1" applyBorder="1" applyAlignment="1">
      <alignment horizontal="center" vertical="center"/>
    </xf>
    <xf numFmtId="9" fontId="14" fillId="27" borderId="6" xfId="1" applyFont="1" applyFill="1" applyBorder="1" applyAlignment="1">
      <alignment horizontal="center" vertical="center"/>
    </xf>
    <xf numFmtId="166" fontId="25" fillId="27" borderId="5" xfId="0" applyNumberFormat="1" applyFont="1" applyFill="1" applyBorder="1" applyAlignment="1">
      <alignment horizontal="center" vertical="center"/>
    </xf>
    <xf numFmtId="166" fontId="25" fillId="27" borderId="6" xfId="0" applyNumberFormat="1" applyFont="1" applyFill="1" applyBorder="1" applyAlignment="1">
      <alignment horizontal="center" vertical="center"/>
    </xf>
    <xf numFmtId="10" fontId="24" fillId="27" borderId="5" xfId="0" applyNumberFormat="1" applyFont="1" applyFill="1" applyBorder="1" applyAlignment="1">
      <alignment horizontal="center" vertical="center"/>
    </xf>
    <xf numFmtId="10" fontId="24" fillId="27" borderId="10" xfId="0" applyNumberFormat="1" applyFont="1" applyFill="1" applyBorder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8" fillId="29" borderId="8" xfId="0" applyFont="1" applyFill="1" applyBorder="1" applyAlignment="1">
      <alignment horizontal="center" vertical="center"/>
    </xf>
    <xf numFmtId="0" fontId="8" fillId="29" borderId="23" xfId="0" applyFont="1" applyFill="1" applyBorder="1" applyAlignment="1">
      <alignment horizontal="center" vertical="center"/>
    </xf>
    <xf numFmtId="0" fontId="20" fillId="6" borderId="27" xfId="0" applyFont="1" applyFill="1" applyBorder="1" applyAlignment="1">
      <alignment horizontal="center" vertical="center"/>
    </xf>
    <xf numFmtId="0" fontId="20" fillId="6" borderId="28" xfId="0" applyFont="1" applyFill="1" applyBorder="1" applyAlignment="1">
      <alignment horizontal="center" vertical="center"/>
    </xf>
    <xf numFmtId="0" fontId="20" fillId="6" borderId="29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 wrapText="1"/>
    </xf>
    <xf numFmtId="0" fontId="7" fillId="2" borderId="29" xfId="0" applyFont="1" applyFill="1" applyBorder="1" applyAlignment="1">
      <alignment horizontal="center" vertical="center" wrapText="1"/>
    </xf>
    <xf numFmtId="0" fontId="23" fillId="2" borderId="27" xfId="0" applyFont="1" applyFill="1" applyBorder="1" applyAlignment="1">
      <alignment horizontal="center" vertical="center" wrapText="1"/>
    </xf>
    <xf numFmtId="0" fontId="23" fillId="2" borderId="29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1" fillId="5" borderId="27" xfId="0" applyFont="1" applyFill="1" applyBorder="1" applyAlignment="1">
      <alignment horizontal="center" vertical="center"/>
    </xf>
    <xf numFmtId="0" fontId="21" fillId="5" borderId="29" xfId="0" applyFont="1" applyFill="1" applyBorder="1" applyAlignment="1">
      <alignment horizontal="center" vertical="center"/>
    </xf>
    <xf numFmtId="9" fontId="21" fillId="11" borderId="27" xfId="1" applyFont="1" applyFill="1" applyBorder="1" applyAlignment="1" applyProtection="1">
      <alignment horizontal="center" vertical="center"/>
      <protection locked="0"/>
    </xf>
    <xf numFmtId="9" fontId="21" fillId="11" borderId="29" xfId="1" applyFont="1" applyFill="1" applyBorder="1" applyAlignment="1" applyProtection="1">
      <alignment horizontal="center" vertical="center"/>
      <protection locked="0"/>
    </xf>
    <xf numFmtId="9" fontId="21" fillId="5" borderId="27" xfId="1" applyFont="1" applyFill="1" applyBorder="1" applyAlignment="1" applyProtection="1">
      <alignment horizontal="center" vertical="center"/>
    </xf>
    <xf numFmtId="9" fontId="21" fillId="5" borderId="29" xfId="1" applyFont="1" applyFill="1" applyBorder="1" applyAlignment="1" applyProtection="1">
      <alignment horizontal="center" vertical="center"/>
    </xf>
    <xf numFmtId="165" fontId="21" fillId="5" borderId="27" xfId="0" applyNumberFormat="1" applyFont="1" applyFill="1" applyBorder="1" applyAlignment="1">
      <alignment horizontal="center" vertical="center"/>
    </xf>
    <xf numFmtId="165" fontId="21" fillId="5" borderId="29" xfId="0" applyNumberFormat="1" applyFont="1" applyFill="1" applyBorder="1" applyAlignment="1">
      <alignment horizontal="center" vertical="center"/>
    </xf>
    <xf numFmtId="0" fontId="21" fillId="5" borderId="27" xfId="0" applyFont="1" applyFill="1" applyBorder="1" applyAlignment="1" applyProtection="1">
      <alignment horizontal="center" vertical="center"/>
      <protection locked="0"/>
    </xf>
    <xf numFmtId="0" fontId="21" fillId="5" borderId="28" xfId="0" applyFont="1" applyFill="1" applyBorder="1" applyAlignment="1" applyProtection="1">
      <alignment horizontal="center" vertical="center"/>
      <protection locked="0"/>
    </xf>
    <xf numFmtId="0" fontId="21" fillId="5" borderId="29" xfId="0" applyFont="1" applyFill="1" applyBorder="1" applyAlignment="1" applyProtection="1">
      <alignment horizontal="center" vertical="center"/>
      <protection locked="0"/>
    </xf>
    <xf numFmtId="0" fontId="21" fillId="11" borderId="27" xfId="0" applyFont="1" applyFill="1" applyBorder="1" applyAlignment="1" applyProtection="1">
      <alignment horizontal="center" vertical="center"/>
      <protection locked="0"/>
    </xf>
    <xf numFmtId="0" fontId="21" fillId="11" borderId="29" xfId="0" applyFont="1" applyFill="1" applyBorder="1" applyAlignment="1" applyProtection="1">
      <alignment horizontal="center" vertical="center"/>
      <protection locked="0"/>
    </xf>
    <xf numFmtId="170" fontId="22" fillId="11" borderId="27" xfId="0" applyNumberFormat="1" applyFont="1" applyFill="1" applyBorder="1" applyAlignment="1" applyProtection="1">
      <alignment horizontal="center" vertical="center"/>
      <protection locked="0"/>
    </xf>
    <xf numFmtId="170" fontId="22" fillId="11" borderId="28" xfId="0" applyNumberFormat="1" applyFont="1" applyFill="1" applyBorder="1" applyAlignment="1" applyProtection="1">
      <alignment horizontal="center" vertical="center"/>
      <protection locked="0"/>
    </xf>
    <xf numFmtId="170" fontId="22" fillId="11" borderId="29" xfId="0" applyNumberFormat="1" applyFont="1" applyFill="1" applyBorder="1" applyAlignment="1" applyProtection="1">
      <alignment horizontal="center" vertical="center"/>
      <protection locked="0"/>
    </xf>
    <xf numFmtId="170" fontId="22" fillId="5" borderId="27" xfId="0" applyNumberFormat="1" applyFont="1" applyFill="1" applyBorder="1" applyAlignment="1">
      <alignment horizontal="center" vertical="center"/>
    </xf>
    <xf numFmtId="170" fontId="22" fillId="5" borderId="29" xfId="0" applyNumberFormat="1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170" fontId="10" fillId="2" borderId="27" xfId="0" applyNumberFormat="1" applyFont="1" applyFill="1" applyBorder="1" applyAlignment="1">
      <alignment horizontal="center" vertical="center"/>
    </xf>
    <xf numFmtId="170" fontId="10" fillId="2" borderId="28" xfId="0" applyNumberFormat="1" applyFont="1" applyFill="1" applyBorder="1" applyAlignment="1">
      <alignment horizontal="center" vertical="center"/>
    </xf>
    <xf numFmtId="170" fontId="10" fillId="2" borderId="29" xfId="0" applyNumberFormat="1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165" fontId="10" fillId="2" borderId="27" xfId="0" applyNumberFormat="1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25" fillId="6" borderId="31" xfId="0" applyFont="1" applyFill="1" applyBorder="1" applyAlignment="1">
      <alignment horizontal="center" vertical="center"/>
    </xf>
    <xf numFmtId="0" fontId="25" fillId="6" borderId="32" xfId="0" applyFont="1" applyFill="1" applyBorder="1" applyAlignment="1">
      <alignment horizontal="center" vertical="center"/>
    </xf>
    <xf numFmtId="0" fontId="25" fillId="6" borderId="3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23" fillId="2" borderId="28" xfId="0" applyFont="1" applyFill="1" applyBorder="1" applyAlignment="1">
      <alignment horizontal="center" vertical="center" wrapText="1"/>
    </xf>
    <xf numFmtId="0" fontId="33" fillId="2" borderId="27" xfId="0" applyFont="1" applyFill="1" applyBorder="1" applyAlignment="1">
      <alignment horizontal="center" vertical="center" wrapText="1"/>
    </xf>
    <xf numFmtId="0" fontId="33" fillId="2" borderId="29" xfId="0" applyFont="1" applyFill="1" applyBorder="1" applyAlignment="1">
      <alignment horizontal="center" vertical="center" wrapText="1"/>
    </xf>
    <xf numFmtId="165" fontId="21" fillId="11" borderId="27" xfId="0" applyNumberFormat="1" applyFont="1" applyFill="1" applyBorder="1" applyAlignment="1" applyProtection="1">
      <alignment horizontal="center" vertical="center"/>
      <protection locked="0"/>
    </xf>
    <xf numFmtId="165" fontId="21" fillId="11" borderId="28" xfId="0" applyNumberFormat="1" applyFont="1" applyFill="1" applyBorder="1" applyAlignment="1" applyProtection="1">
      <alignment horizontal="center" vertical="center"/>
      <protection locked="0"/>
    </xf>
    <xf numFmtId="165" fontId="21" fillId="11" borderId="29" xfId="0" applyNumberFormat="1" applyFont="1" applyFill="1" applyBorder="1" applyAlignment="1" applyProtection="1">
      <alignment horizontal="center" vertical="center"/>
      <protection locked="0"/>
    </xf>
    <xf numFmtId="0" fontId="22" fillId="11" borderId="27" xfId="0" applyFont="1" applyFill="1" applyBorder="1" applyAlignment="1" applyProtection="1">
      <alignment horizontal="center" vertical="center"/>
      <protection locked="0"/>
    </xf>
    <xf numFmtId="0" fontId="22" fillId="11" borderId="29" xfId="0" applyFont="1" applyFill="1" applyBorder="1" applyAlignment="1" applyProtection="1">
      <alignment horizontal="center" vertical="center"/>
      <protection locked="0"/>
    </xf>
    <xf numFmtId="0" fontId="21" fillId="11" borderId="28" xfId="0" applyFont="1" applyFill="1" applyBorder="1" applyAlignment="1" applyProtection="1">
      <alignment horizontal="center" vertical="center"/>
      <protection locked="0"/>
    </xf>
    <xf numFmtId="165" fontId="22" fillId="11" borderId="27" xfId="0" applyNumberFormat="1" applyFont="1" applyFill="1" applyBorder="1" applyAlignment="1" applyProtection="1">
      <alignment horizontal="center" vertical="center"/>
      <protection locked="0"/>
    </xf>
    <xf numFmtId="165" fontId="22" fillId="11" borderId="29" xfId="0" applyNumberFormat="1" applyFont="1" applyFill="1" applyBorder="1" applyAlignment="1" applyProtection="1">
      <alignment horizontal="center" vertical="center"/>
      <protection locked="0"/>
    </xf>
    <xf numFmtId="0" fontId="7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35" fillId="6" borderId="31" xfId="0" applyFont="1" applyFill="1" applyBorder="1" applyAlignment="1">
      <alignment horizontal="center" vertical="center"/>
    </xf>
    <xf numFmtId="0" fontId="35" fillId="6" borderId="32" xfId="0" applyFont="1" applyFill="1" applyBorder="1" applyAlignment="1">
      <alignment horizontal="center" vertical="center"/>
    </xf>
    <xf numFmtId="0" fontId="35" fillId="6" borderId="33" xfId="0" applyFont="1" applyFill="1" applyBorder="1" applyAlignment="1">
      <alignment horizontal="center" vertical="center"/>
    </xf>
    <xf numFmtId="0" fontId="35" fillId="6" borderId="34" xfId="0" applyFont="1" applyFill="1" applyBorder="1" applyAlignment="1">
      <alignment horizontal="center" vertical="center"/>
    </xf>
    <xf numFmtId="0" fontId="35" fillId="6" borderId="30" xfId="0" applyFont="1" applyFill="1" applyBorder="1" applyAlignment="1">
      <alignment horizontal="center" vertical="center"/>
    </xf>
    <xf numFmtId="0" fontId="35" fillId="6" borderId="35" xfId="0" applyFont="1" applyFill="1" applyBorder="1" applyAlignment="1">
      <alignment horizontal="center" vertical="center"/>
    </xf>
    <xf numFmtId="170" fontId="7" fillId="2" borderId="27" xfId="0" applyNumberFormat="1" applyFont="1" applyFill="1" applyBorder="1" applyAlignment="1">
      <alignment horizontal="center" vertical="center"/>
    </xf>
    <xf numFmtId="170" fontId="7" fillId="2" borderId="28" xfId="0" applyNumberFormat="1" applyFont="1" applyFill="1" applyBorder="1" applyAlignment="1">
      <alignment horizontal="center" vertical="center"/>
    </xf>
    <xf numFmtId="170" fontId="7" fillId="2" borderId="29" xfId="0" applyNumberFormat="1" applyFont="1" applyFill="1" applyBorder="1" applyAlignment="1">
      <alignment horizontal="center" vertical="center"/>
    </xf>
    <xf numFmtId="165" fontId="7" fillId="2" borderId="27" xfId="0" applyNumberFormat="1" applyFont="1" applyFill="1" applyBorder="1" applyAlignment="1">
      <alignment horizontal="center" vertical="center" wrapText="1"/>
    </xf>
    <xf numFmtId="0" fontId="7" fillId="2" borderId="28" xfId="0" applyFont="1" applyFill="1" applyBorder="1" applyAlignment="1">
      <alignment horizontal="center" vertical="center" wrapText="1"/>
    </xf>
    <xf numFmtId="0" fontId="24" fillId="6" borderId="31" xfId="0" applyFont="1" applyFill="1" applyBorder="1" applyAlignment="1">
      <alignment horizontal="center" vertical="center"/>
    </xf>
    <xf numFmtId="0" fontId="24" fillId="6" borderId="32" xfId="0" applyFont="1" applyFill="1" applyBorder="1" applyAlignment="1">
      <alignment horizontal="center" vertical="center"/>
    </xf>
    <xf numFmtId="0" fontId="24" fillId="6" borderId="33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 wrapText="1"/>
    </xf>
    <xf numFmtId="0" fontId="2" fillId="2" borderId="29" xfId="0" applyFont="1" applyFill="1" applyBorder="1" applyAlignment="1">
      <alignment horizontal="center" vertical="center" wrapText="1"/>
    </xf>
    <xf numFmtId="0" fontId="34" fillId="2" borderId="27" xfId="0" applyFont="1" applyFill="1" applyBorder="1" applyAlignment="1">
      <alignment horizontal="center" vertical="center" wrapText="1"/>
    </xf>
    <xf numFmtId="0" fontId="34" fillId="2" borderId="28" xfId="0" applyFont="1" applyFill="1" applyBorder="1" applyAlignment="1">
      <alignment horizontal="center" vertical="center" wrapText="1"/>
    </xf>
    <xf numFmtId="0" fontId="34" fillId="2" borderId="29" xfId="0" applyFont="1" applyFill="1" applyBorder="1" applyAlignment="1">
      <alignment horizontal="center" vertical="center" wrapText="1"/>
    </xf>
    <xf numFmtId="0" fontId="21" fillId="38" borderId="27" xfId="0" applyFont="1" applyFill="1" applyBorder="1" applyAlignment="1">
      <alignment horizontal="center" vertical="center"/>
    </xf>
    <xf numFmtId="0" fontId="21" fillId="38" borderId="28" xfId="0" applyFont="1" applyFill="1" applyBorder="1" applyAlignment="1">
      <alignment horizontal="center" vertical="center"/>
    </xf>
    <xf numFmtId="0" fontId="21" fillId="38" borderId="29" xfId="0" applyFont="1" applyFill="1" applyBorder="1" applyAlignment="1">
      <alignment horizontal="center" vertical="center"/>
    </xf>
    <xf numFmtId="0" fontId="17" fillId="6" borderId="27" xfId="0" applyFont="1" applyFill="1" applyBorder="1" applyAlignment="1">
      <alignment horizontal="center" vertical="center"/>
    </xf>
    <xf numFmtId="0" fontId="17" fillId="6" borderId="28" xfId="0" applyFont="1" applyFill="1" applyBorder="1" applyAlignment="1">
      <alignment horizontal="center" vertical="center"/>
    </xf>
    <xf numFmtId="0" fontId="17" fillId="6" borderId="29" xfId="0" applyFont="1" applyFill="1" applyBorder="1" applyAlignment="1">
      <alignment horizontal="center" vertical="center"/>
    </xf>
    <xf numFmtId="0" fontId="21" fillId="5" borderId="28" xfId="0" applyFont="1" applyFill="1" applyBorder="1" applyAlignment="1">
      <alignment horizontal="center" vertical="center"/>
    </xf>
    <xf numFmtId="9" fontId="21" fillId="5" borderId="26" xfId="1" applyFont="1" applyFill="1" applyBorder="1" applyAlignment="1" applyProtection="1">
      <alignment horizontal="center" vertical="center"/>
    </xf>
    <xf numFmtId="0" fontId="19" fillId="22" borderId="0" xfId="0" applyFont="1" applyFill="1" applyAlignment="1">
      <alignment horizontal="center" vertical="center"/>
    </xf>
    <xf numFmtId="0" fontId="20" fillId="36" borderId="31" xfId="0" applyFont="1" applyFill="1" applyBorder="1" applyAlignment="1">
      <alignment horizontal="center" vertical="center"/>
    </xf>
    <xf numFmtId="0" fontId="20" fillId="36" borderId="32" xfId="0" applyFont="1" applyFill="1" applyBorder="1" applyAlignment="1">
      <alignment horizontal="center" vertical="center"/>
    </xf>
    <xf numFmtId="0" fontId="20" fillId="36" borderId="33" xfId="0" applyFont="1" applyFill="1" applyBorder="1" applyAlignment="1">
      <alignment horizontal="center" vertical="center"/>
    </xf>
    <xf numFmtId="0" fontId="20" fillId="36" borderId="34" xfId="0" applyFont="1" applyFill="1" applyBorder="1" applyAlignment="1">
      <alignment horizontal="center" vertical="center"/>
    </xf>
    <xf numFmtId="0" fontId="20" fillId="36" borderId="30" xfId="0" applyFont="1" applyFill="1" applyBorder="1" applyAlignment="1">
      <alignment horizontal="center" vertical="center"/>
    </xf>
    <xf numFmtId="0" fontId="20" fillId="36" borderId="35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9" fontId="14" fillId="27" borderId="5" xfId="1" applyFont="1" applyFill="1" applyBorder="1" applyAlignment="1" applyProtection="1">
      <alignment horizontal="center" vertical="center"/>
    </xf>
    <xf numFmtId="9" fontId="14" fillId="27" borderId="6" xfId="1" applyFont="1" applyFill="1" applyBorder="1" applyAlignment="1" applyProtection="1">
      <alignment horizontal="center" vertical="center"/>
    </xf>
    <xf numFmtId="0" fontId="17" fillId="9" borderId="19" xfId="0" applyFont="1" applyFill="1" applyBorder="1" applyAlignment="1">
      <alignment horizontal="center" vertical="center"/>
    </xf>
    <xf numFmtId="0" fontId="29" fillId="34" borderId="0" xfId="0" applyFont="1" applyFill="1" applyAlignment="1">
      <alignment horizontal="center" vertical="center"/>
    </xf>
    <xf numFmtId="0" fontId="30" fillId="19" borderId="2" xfId="0" applyFont="1" applyFill="1" applyBorder="1" applyAlignment="1">
      <alignment horizontal="center" vertical="center"/>
    </xf>
    <xf numFmtId="0" fontId="0" fillId="4" borderId="9" xfId="0" applyFill="1" applyBorder="1" applyAlignment="1" applyProtection="1">
      <alignment horizontal="center" vertical="center"/>
      <protection locked="0"/>
    </xf>
    <xf numFmtId="0" fontId="0" fillId="4" borderId="20" xfId="0" applyFill="1" applyBorder="1" applyAlignment="1" applyProtection="1">
      <alignment horizontal="center" vertical="center"/>
      <protection locked="0"/>
    </xf>
    <xf numFmtId="0" fontId="0" fillId="12" borderId="9" xfId="0" applyFill="1" applyBorder="1" applyAlignment="1" applyProtection="1">
      <alignment horizontal="center" vertical="center"/>
      <protection locked="0"/>
    </xf>
    <xf numFmtId="0" fontId="0" fillId="12" borderId="20" xfId="0" applyFill="1" applyBorder="1" applyAlignment="1" applyProtection="1">
      <alignment horizontal="center" vertical="center"/>
      <protection locked="0"/>
    </xf>
    <xf numFmtId="168" fontId="7" fillId="27" borderId="4" xfId="1" applyNumberFormat="1" applyFont="1" applyFill="1" applyBorder="1" applyAlignment="1">
      <alignment horizontal="center" vertical="center"/>
    </xf>
    <xf numFmtId="0" fontId="8" fillId="29" borderId="5" xfId="0" applyFont="1" applyFill="1" applyBorder="1" applyAlignment="1">
      <alignment horizontal="center" vertical="center"/>
    </xf>
    <xf numFmtId="0" fontId="8" fillId="29" borderId="6" xfId="0" applyFont="1" applyFill="1" applyBorder="1" applyAlignment="1">
      <alignment horizontal="center" vertical="center"/>
    </xf>
  </cellXfs>
  <cellStyles count="3">
    <cellStyle name="Moeda" xfId="2" builtinId="4"/>
    <cellStyle name="Normal" xfId="0" builtinId="0"/>
    <cellStyle name="Porcentagem" xfId="1" builtinId="5"/>
  </cellStyles>
  <dxfs count="8"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4" formatCode="0.00%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5" formatCode="_(&quot;R$&quot;* #,##0.00_);_(&quot;R$&quot;* \(#,##0.00\);_(&quot;R$&quot;* &quot;-&quot;??_);_(@_)"/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75" formatCode="0\ &quot;Horas&quot;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4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E5B00"/>
      <color rgb="FF1F5485"/>
      <color rgb="FFF5B1B1"/>
      <color rgb="FFFEA8A8"/>
      <color rgb="FFB3AC8F"/>
      <color rgb="FFF2AD50"/>
      <color rgb="FFFD8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Produtos!A1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107157</xdr:rowOff>
    </xdr:from>
    <xdr:to>
      <xdr:col>11</xdr:col>
      <xdr:colOff>1071563</xdr:colOff>
      <xdr:row>3</xdr:row>
      <xdr:rowOff>83344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E0CA27A8-49B5-45BB-979D-3B8FAAF10EB6}"/>
            </a:ext>
          </a:extLst>
        </xdr:cNvPr>
        <xdr:cNvSpPr/>
      </xdr:nvSpPr>
      <xdr:spPr>
        <a:xfrm>
          <a:off x="0" y="107157"/>
          <a:ext cx="20109657" cy="54768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320041</xdr:colOff>
      <xdr:row>0</xdr:row>
      <xdr:rowOff>59532</xdr:rowOff>
    </xdr:from>
    <xdr:to>
      <xdr:col>10</xdr:col>
      <xdr:colOff>1309687</xdr:colOff>
      <xdr:row>4</xdr:row>
      <xdr:rowOff>10942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5A65205-56E0-4580-9285-C1C40DB07CC0}"/>
            </a:ext>
          </a:extLst>
        </xdr:cNvPr>
        <xdr:cNvGrpSpPr/>
      </xdr:nvGrpSpPr>
      <xdr:grpSpPr>
        <a:xfrm>
          <a:off x="320041" y="59532"/>
          <a:ext cx="18172746" cy="713410"/>
          <a:chOff x="109169" y="50800"/>
          <a:chExt cx="15874004" cy="713410"/>
        </a:xfrm>
      </xdr:grpSpPr>
      <xdr:pic>
        <xdr:nvPicPr>
          <xdr:cNvPr id="2" name="image2.png">
            <a:extLst>
              <a:ext uri="{FF2B5EF4-FFF2-40B4-BE49-F238E27FC236}">
                <a16:creationId xmlns:a16="http://schemas.microsoft.com/office/drawing/2014/main" id="{F99439F9-19D1-487E-A003-EFFDCC1B2970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4794290" y="50800"/>
            <a:ext cx="1188883" cy="678180"/>
          </a:xfrm>
          <a:prstGeom prst="rect">
            <a:avLst/>
          </a:prstGeom>
          <a:noFill/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FC45AB7C-E0AF-41BC-9FDC-753BD2B8AA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169" y="64444"/>
            <a:ext cx="900137" cy="69976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1116782</xdr:colOff>
      <xdr:row>4</xdr:row>
      <xdr:rowOff>40968</xdr:rowOff>
    </xdr:from>
    <xdr:to>
      <xdr:col>1</xdr:col>
      <xdr:colOff>3021782</xdr:colOff>
      <xdr:row>4</xdr:row>
      <xdr:rowOff>358468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A0C4E924-5806-4007-9361-BC6DFAD2FB0A}"/>
            </a:ext>
          </a:extLst>
        </xdr:cNvPr>
        <xdr:cNvGrpSpPr/>
      </xdr:nvGrpSpPr>
      <xdr:grpSpPr>
        <a:xfrm>
          <a:off x="2116907" y="802968"/>
          <a:ext cx="1905000" cy="317500"/>
          <a:chOff x="1831157" y="802968"/>
          <a:chExt cx="1905000" cy="317500"/>
        </a:xfrm>
      </xdr:grpSpPr>
      <xdr:sp macro="[0]!Salvar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C1571B5-E25A-49F7-B56C-E8F01F167BA6}"/>
              </a:ext>
            </a:extLst>
          </xdr:cNvPr>
          <xdr:cNvSpPr/>
        </xdr:nvSpPr>
        <xdr:spPr>
          <a:xfrm>
            <a:off x="1831157" y="802968"/>
            <a:ext cx="1905000" cy="31750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Salvar" textlink="">
        <xdr:nvSpPr>
          <xdr:cNvPr id="7" name="Retângulo 6">
            <a:extLst>
              <a:ext uri="{FF2B5EF4-FFF2-40B4-BE49-F238E27FC236}">
                <a16:creationId xmlns:a16="http://schemas.microsoft.com/office/drawing/2014/main" id="{E162BAB1-191F-46CC-8DF5-20C55446F296}"/>
              </a:ext>
            </a:extLst>
          </xdr:cNvPr>
          <xdr:cNvSpPr/>
        </xdr:nvSpPr>
        <xdr:spPr>
          <a:xfrm>
            <a:off x="2302297" y="805282"/>
            <a:ext cx="961289" cy="298800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>
    <xdr:from>
      <xdr:col>6</xdr:col>
      <xdr:colOff>1001196</xdr:colOff>
      <xdr:row>4</xdr:row>
      <xdr:rowOff>39739</xdr:rowOff>
    </xdr:from>
    <xdr:to>
      <xdr:col>8</xdr:col>
      <xdr:colOff>139629</xdr:colOff>
      <xdr:row>4</xdr:row>
      <xdr:rowOff>357239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A9242AC1-2167-4C3F-BE53-535291E1B0D4}"/>
            </a:ext>
          </a:extLst>
        </xdr:cNvPr>
        <xdr:cNvGrpSpPr/>
      </xdr:nvGrpSpPr>
      <xdr:grpSpPr>
        <a:xfrm>
          <a:off x="12354996" y="801739"/>
          <a:ext cx="1881633" cy="317500"/>
          <a:chOff x="13050321" y="801739"/>
          <a:chExt cx="1805433" cy="317500"/>
        </a:xfrm>
      </xdr:grpSpPr>
      <xdr:sp macro="[0]!Limpar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4E56C92C-5352-46FE-86FE-BBADBA6F03AF}"/>
              </a:ext>
            </a:extLst>
          </xdr:cNvPr>
          <xdr:cNvSpPr/>
        </xdr:nvSpPr>
        <xdr:spPr>
          <a:xfrm>
            <a:off x="13050321" y="801739"/>
            <a:ext cx="1805433" cy="31750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limpteste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943EAF-4BD1-4946-99E1-A3D2C4015D1A}"/>
              </a:ext>
            </a:extLst>
          </xdr:cNvPr>
          <xdr:cNvSpPr/>
        </xdr:nvSpPr>
        <xdr:spPr>
          <a:xfrm>
            <a:off x="13511509" y="804053"/>
            <a:ext cx="863646" cy="298800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LIMPAR</a:t>
            </a:r>
          </a:p>
        </xdr:txBody>
      </xdr:sp>
    </xdr:grpSp>
    <xdr:clientData/>
  </xdr:twoCellAnchor>
  <xdr:twoCellAnchor>
    <xdr:from>
      <xdr:col>3</xdr:col>
      <xdr:colOff>379768</xdr:colOff>
      <xdr:row>4</xdr:row>
      <xdr:rowOff>40456</xdr:rowOff>
    </xdr:from>
    <xdr:to>
      <xdr:col>4</xdr:col>
      <xdr:colOff>1053585</xdr:colOff>
      <xdr:row>4</xdr:row>
      <xdr:rowOff>357956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2187CB45-65C1-447B-8D90-78C5088D2BCF}"/>
            </a:ext>
          </a:extLst>
        </xdr:cNvPr>
        <xdr:cNvGrpSpPr/>
      </xdr:nvGrpSpPr>
      <xdr:grpSpPr>
        <a:xfrm>
          <a:off x="7247293" y="802456"/>
          <a:ext cx="2216867" cy="317500"/>
          <a:chOff x="6809143" y="802456"/>
          <a:chExt cx="2459755" cy="317500"/>
        </a:xfrm>
      </xdr:grpSpPr>
      <xdr:sp macro="[0]!CONVERTER_EM_PDF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789B8B7B-8075-40DD-B09B-3F1B950D6F32}"/>
              </a:ext>
            </a:extLst>
          </xdr:cNvPr>
          <xdr:cNvSpPr/>
        </xdr:nvSpPr>
        <xdr:spPr>
          <a:xfrm>
            <a:off x="6809143" y="802456"/>
            <a:ext cx="2459755" cy="317500"/>
          </a:xfrm>
          <a:prstGeom prst="roundRect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PDF_MESMAPASTA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2E9BCF4-198F-42A5-9741-BDD8C32CC300}"/>
              </a:ext>
            </a:extLst>
          </xdr:cNvPr>
          <xdr:cNvSpPr/>
        </xdr:nvSpPr>
        <xdr:spPr>
          <a:xfrm>
            <a:off x="6812119" y="804770"/>
            <a:ext cx="2453806" cy="298800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GERADOR</a:t>
            </a:r>
            <a:r>
              <a:rPr lang="pt-BR" sz="1400" b="1" cap="none" spc="50" baseline="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 DE PDF</a:t>
            </a:r>
            <a:endParaRPr lang="pt-BR" sz="14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104671</xdr:colOff>
      <xdr:row>25</xdr:row>
      <xdr:rowOff>337147</xdr:rowOff>
    </xdr:from>
    <xdr:to>
      <xdr:col>5</xdr:col>
      <xdr:colOff>41868</xdr:colOff>
      <xdr:row>28</xdr:row>
      <xdr:rowOff>20289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DC532DE1-BF93-45EC-8F36-041C710A1DF5}"/>
            </a:ext>
          </a:extLst>
        </xdr:cNvPr>
        <xdr:cNvGrpSpPr/>
      </xdr:nvGrpSpPr>
      <xdr:grpSpPr>
        <a:xfrm>
          <a:off x="8515246" y="6728422"/>
          <a:ext cx="1375472" cy="407042"/>
          <a:chOff x="8792308" y="6219620"/>
          <a:chExt cx="1517719" cy="405367"/>
        </a:xfrm>
      </xdr:grpSpPr>
      <xdr:sp macro="[0]!Tranferi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23B9B39D-87F2-4BA9-9B43-163826DCB6BE}"/>
              </a:ext>
            </a:extLst>
          </xdr:cNvPr>
          <xdr:cNvSpPr/>
        </xdr:nvSpPr>
        <xdr:spPr>
          <a:xfrm>
            <a:off x="8792308" y="6269753"/>
            <a:ext cx="1517719" cy="33494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TransferênciaHardware" textlink="">
        <xdr:nvSpPr>
          <xdr:cNvPr id="6" name="Retângulo 5">
            <a:extLst>
              <a:ext uri="{FF2B5EF4-FFF2-40B4-BE49-F238E27FC236}">
                <a16:creationId xmlns:a16="http://schemas.microsoft.com/office/drawing/2014/main" id="{0744DC71-13B2-4854-9A3E-41D5F9B06C0E}"/>
              </a:ext>
            </a:extLst>
          </xdr:cNvPr>
          <xdr:cNvSpPr/>
        </xdr:nvSpPr>
        <xdr:spPr>
          <a:xfrm>
            <a:off x="8977594" y="6219620"/>
            <a:ext cx="1157626" cy="40536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0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transferir</a:t>
            </a:r>
            <a:r>
              <a:rPr lang="pt-BR" sz="1000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margem</a:t>
            </a:r>
          </a:p>
          <a:p>
            <a:pPr algn="ctr"/>
            <a:r>
              <a:rPr lang="pt-BR" sz="1000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do simulador</a:t>
            </a:r>
            <a:endPara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4</xdr:col>
      <xdr:colOff>133246</xdr:colOff>
      <xdr:row>65</xdr:row>
      <xdr:rowOff>213618</xdr:rowOff>
    </xdr:from>
    <xdr:to>
      <xdr:col>5</xdr:col>
      <xdr:colOff>70443</xdr:colOff>
      <xdr:row>67</xdr:row>
      <xdr:rowOff>123262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728F539-0893-4B5E-8750-290EC223C607}"/>
            </a:ext>
          </a:extLst>
        </xdr:cNvPr>
        <xdr:cNvGrpSpPr/>
      </xdr:nvGrpSpPr>
      <xdr:grpSpPr>
        <a:xfrm>
          <a:off x="8543821" y="15634593"/>
          <a:ext cx="1375472" cy="443044"/>
          <a:chOff x="8792308" y="6241364"/>
          <a:chExt cx="1517719" cy="405367"/>
        </a:xfrm>
      </xdr:grpSpPr>
      <xdr:sp macro="[0]!Tranferir" textlink="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3DCF53AA-C01C-46FB-86A8-119EA0DC5D36}"/>
              </a:ext>
            </a:extLst>
          </xdr:cNvPr>
          <xdr:cNvSpPr/>
        </xdr:nvSpPr>
        <xdr:spPr>
          <a:xfrm>
            <a:off x="8792308" y="6269753"/>
            <a:ext cx="1517719" cy="334945"/>
          </a:xfrm>
          <a:prstGeom prst="round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TransferênciaSoftware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C6D0BD22-BEE4-457D-9835-43D2FCEF4CF4}"/>
              </a:ext>
            </a:extLst>
          </xdr:cNvPr>
          <xdr:cNvSpPr/>
        </xdr:nvSpPr>
        <xdr:spPr>
          <a:xfrm>
            <a:off x="8966216" y="6241364"/>
            <a:ext cx="1157626" cy="40536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0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transferir</a:t>
            </a:r>
            <a:r>
              <a:rPr lang="pt-BR" sz="1000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margem</a:t>
            </a:r>
          </a:p>
          <a:p>
            <a:pPr algn="ctr"/>
            <a:r>
              <a:rPr lang="pt-BR" sz="1000" b="1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do simulador</a:t>
            </a:r>
            <a:endPara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oneCellAnchor>
    <xdr:from>
      <xdr:col>10</xdr:col>
      <xdr:colOff>912456</xdr:colOff>
      <xdr:row>3</xdr:row>
      <xdr:rowOff>131168</xdr:rowOff>
    </xdr:from>
    <xdr:ext cx="1060226" cy="468013"/>
    <xdr:sp macro="[0]!senha" textlink="">
      <xdr:nvSpPr>
        <xdr:cNvPr id="24" name="Retângulo 23">
          <a:extLst>
            <a:ext uri="{FF2B5EF4-FFF2-40B4-BE49-F238E27FC236}">
              <a16:creationId xmlns:a16="http://schemas.microsoft.com/office/drawing/2014/main" id="{2738B5F9-6B30-4FCE-ADE2-F35E346843BB}"/>
            </a:ext>
          </a:extLst>
        </xdr:cNvPr>
        <xdr:cNvSpPr/>
      </xdr:nvSpPr>
      <xdr:spPr>
        <a:xfrm>
          <a:off x="17993956" y="702668"/>
          <a:ext cx="1060226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400" b="1" cap="none" spc="50">
              <a:ln w="0"/>
              <a:solidFill>
                <a:schemeClr val="bg1">
                  <a:lumMod val="50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Edição</a:t>
          </a:r>
          <a:endParaRPr lang="pt-BR" sz="4800" b="1" cap="none" spc="50">
            <a:ln w="0"/>
            <a:solidFill>
              <a:schemeClr val="bg1">
                <a:lumMod val="50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0</xdr:col>
      <xdr:colOff>11906</xdr:colOff>
      <xdr:row>6</xdr:row>
      <xdr:rowOff>471779</xdr:rowOff>
    </xdr:from>
    <xdr:to>
      <xdr:col>12</xdr:col>
      <xdr:colOff>0</xdr:colOff>
      <xdr:row>7</xdr:row>
      <xdr:rowOff>464343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EE7D9F8A-1741-40B9-8FD9-2E515C791436}"/>
            </a:ext>
          </a:extLst>
        </xdr:cNvPr>
        <xdr:cNvGrpSpPr/>
      </xdr:nvGrpSpPr>
      <xdr:grpSpPr>
        <a:xfrm>
          <a:off x="11906" y="1929104"/>
          <a:ext cx="19695319" cy="497389"/>
          <a:chOff x="11906" y="1936248"/>
          <a:chExt cx="20109657" cy="492626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8FF6FB7F-3802-4877-8B81-241E6F7E17D7}"/>
              </a:ext>
            </a:extLst>
          </xdr:cNvPr>
          <xdr:cNvSpPr/>
        </xdr:nvSpPr>
        <xdr:spPr>
          <a:xfrm>
            <a:off x="11906" y="1964530"/>
            <a:ext cx="20109657" cy="464344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4632DAE-2414-452C-95DD-481973462C79}"/>
              </a:ext>
            </a:extLst>
          </xdr:cNvPr>
          <xdr:cNvSpPr/>
        </xdr:nvSpPr>
        <xdr:spPr>
          <a:xfrm>
            <a:off x="7504892" y="1936248"/>
            <a:ext cx="4171189" cy="46801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4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Hardware: produtos e serviços </a:t>
            </a:r>
          </a:p>
        </xdr:txBody>
      </xdr:sp>
    </xdr:grpSp>
    <xdr:clientData/>
  </xdr:twoCellAnchor>
  <xdr:oneCellAnchor>
    <xdr:from>
      <xdr:col>4</xdr:col>
      <xdr:colOff>1554269</xdr:colOff>
      <xdr:row>1</xdr:row>
      <xdr:rowOff>28867</xdr:rowOff>
    </xdr:from>
    <xdr:ext cx="184730" cy="468013"/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45337718-7F66-4442-AB0C-91329B44953F}"/>
            </a:ext>
          </a:extLst>
        </xdr:cNvPr>
        <xdr:cNvSpPr/>
      </xdr:nvSpPr>
      <xdr:spPr>
        <a:xfrm>
          <a:off x="9769582" y="219367"/>
          <a:ext cx="184730" cy="46801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pt-BR" sz="2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  <xdr:twoCellAnchor>
    <xdr:from>
      <xdr:col>3</xdr:col>
      <xdr:colOff>180119</xdr:colOff>
      <xdr:row>0</xdr:row>
      <xdr:rowOff>88397</xdr:rowOff>
    </xdr:from>
    <xdr:to>
      <xdr:col>6</xdr:col>
      <xdr:colOff>636648</xdr:colOff>
      <xdr:row>3</xdr:row>
      <xdr:rowOff>47555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B6A40FDC-65FB-4533-8556-2755F09F9105}"/>
            </a:ext>
          </a:extLst>
        </xdr:cNvPr>
        <xdr:cNvSpPr/>
      </xdr:nvSpPr>
      <xdr:spPr>
        <a:xfrm>
          <a:off x="6609494" y="88397"/>
          <a:ext cx="6076279" cy="530658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Planilha de formação de preços Accerte </a:t>
          </a:r>
        </a:p>
      </xdr:txBody>
    </xdr:sp>
    <xdr:clientData/>
  </xdr:twoCellAnchor>
  <xdr:twoCellAnchor>
    <xdr:from>
      <xdr:col>0</xdr:col>
      <xdr:colOff>0</xdr:colOff>
      <xdr:row>43</xdr:row>
      <xdr:rowOff>255085</xdr:rowOff>
    </xdr:from>
    <xdr:to>
      <xdr:col>11</xdr:col>
      <xdr:colOff>1128059</xdr:colOff>
      <xdr:row>44</xdr:row>
      <xdr:rowOff>473867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27A6A00-3850-4DAA-8142-D1150F2E307A}"/>
            </a:ext>
          </a:extLst>
        </xdr:cNvPr>
        <xdr:cNvGrpSpPr/>
      </xdr:nvGrpSpPr>
      <xdr:grpSpPr>
        <a:xfrm>
          <a:off x="0" y="10456360"/>
          <a:ext cx="19711334" cy="495007"/>
          <a:chOff x="11906" y="1936248"/>
          <a:chExt cx="20109657" cy="492626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A955DDD8-FD3F-4FB6-BEEA-C5C359FAA39A}"/>
              </a:ext>
            </a:extLst>
          </xdr:cNvPr>
          <xdr:cNvSpPr/>
        </xdr:nvSpPr>
        <xdr:spPr>
          <a:xfrm>
            <a:off x="11906" y="1964530"/>
            <a:ext cx="20109657" cy="464344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B19ED6AE-78FE-43A4-B0D4-8679915C20EE}"/>
              </a:ext>
            </a:extLst>
          </xdr:cNvPr>
          <xdr:cNvSpPr/>
        </xdr:nvSpPr>
        <xdr:spPr>
          <a:xfrm>
            <a:off x="7739324" y="1936248"/>
            <a:ext cx="3702325" cy="46558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4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Software / Licença / Cloud  </a:t>
            </a:r>
          </a:p>
        </xdr:txBody>
      </xdr:sp>
    </xdr:grpSp>
    <xdr:clientData/>
  </xdr:twoCellAnchor>
  <xdr:twoCellAnchor>
    <xdr:from>
      <xdr:col>0</xdr:col>
      <xdr:colOff>0</xdr:colOff>
      <xdr:row>84</xdr:row>
      <xdr:rowOff>2672</xdr:rowOff>
    </xdr:from>
    <xdr:to>
      <xdr:col>11</xdr:col>
      <xdr:colOff>1130300</xdr:colOff>
      <xdr:row>85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A40CCD9F-32AD-4F58-8702-2DE66C7D145F}"/>
            </a:ext>
          </a:extLst>
        </xdr:cNvPr>
        <xdr:cNvGrpSpPr/>
      </xdr:nvGrpSpPr>
      <xdr:grpSpPr>
        <a:xfrm>
          <a:off x="0" y="19195547"/>
          <a:ext cx="19713575" cy="511678"/>
          <a:chOff x="11906" y="1936248"/>
          <a:chExt cx="20109657" cy="492626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F3F47179-A45E-4F2B-88BE-DCE274CFB821}"/>
              </a:ext>
            </a:extLst>
          </xdr:cNvPr>
          <xdr:cNvSpPr/>
        </xdr:nvSpPr>
        <xdr:spPr>
          <a:xfrm>
            <a:off x="11906" y="1964530"/>
            <a:ext cx="20109657" cy="464344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0E1C45E8-A8B4-4D08-8299-0563A9618CA3}"/>
              </a:ext>
            </a:extLst>
          </xdr:cNvPr>
          <xdr:cNvSpPr/>
        </xdr:nvSpPr>
        <xdr:spPr>
          <a:xfrm>
            <a:off x="7577766" y="1936248"/>
            <a:ext cx="4025439" cy="44314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4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Serviços de consultoria avulso</a:t>
            </a:r>
          </a:p>
        </xdr:txBody>
      </xdr:sp>
    </xdr:grpSp>
    <xdr:clientData/>
  </xdr:twoCellAnchor>
  <xdr:twoCellAnchor>
    <xdr:from>
      <xdr:col>0</xdr:col>
      <xdr:colOff>0</xdr:colOff>
      <xdr:row>127</xdr:row>
      <xdr:rowOff>24104</xdr:rowOff>
    </xdr:from>
    <xdr:to>
      <xdr:col>11</xdr:col>
      <xdr:colOff>1071563</xdr:colOff>
      <xdr:row>127</xdr:row>
      <xdr:rowOff>516730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D5896E3-AAFF-4488-A5BA-B240D8F9F7D0}"/>
            </a:ext>
          </a:extLst>
        </xdr:cNvPr>
        <xdr:cNvGrpSpPr/>
      </xdr:nvGrpSpPr>
      <xdr:grpSpPr>
        <a:xfrm>
          <a:off x="0" y="28884854"/>
          <a:ext cx="19654838" cy="492626"/>
          <a:chOff x="11906" y="1936248"/>
          <a:chExt cx="20109657" cy="492626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CC520766-DA8E-4FC6-AA68-C14988352592}"/>
              </a:ext>
            </a:extLst>
          </xdr:cNvPr>
          <xdr:cNvSpPr/>
        </xdr:nvSpPr>
        <xdr:spPr>
          <a:xfrm>
            <a:off x="11906" y="1964530"/>
            <a:ext cx="20109657" cy="464344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3A23011F-6E55-42E6-AB4B-00A818DD0DBC}"/>
              </a:ext>
            </a:extLst>
          </xdr:cNvPr>
          <xdr:cNvSpPr/>
        </xdr:nvSpPr>
        <xdr:spPr>
          <a:xfrm>
            <a:off x="7929678" y="1936248"/>
            <a:ext cx="3321618" cy="46801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4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Serviços de sustentação </a:t>
            </a:r>
          </a:p>
        </xdr:txBody>
      </xdr:sp>
    </xdr:grpSp>
    <xdr:clientData/>
  </xdr:twoCellAnchor>
  <xdr:twoCellAnchor>
    <xdr:from>
      <xdr:col>0</xdr:col>
      <xdr:colOff>0</xdr:colOff>
      <xdr:row>168</xdr:row>
      <xdr:rowOff>21722</xdr:rowOff>
    </xdr:from>
    <xdr:to>
      <xdr:col>11</xdr:col>
      <xdr:colOff>1062038</xdr:colOff>
      <xdr:row>169</xdr:row>
      <xdr:rowOff>288130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DEE2A33E-3052-45FF-9EE2-24D155F7B0BB}"/>
            </a:ext>
          </a:extLst>
        </xdr:cNvPr>
        <xdr:cNvGrpSpPr/>
      </xdr:nvGrpSpPr>
      <xdr:grpSpPr>
        <a:xfrm>
          <a:off x="0" y="39483797"/>
          <a:ext cx="19645313" cy="466433"/>
          <a:chOff x="11906" y="555123"/>
          <a:chExt cx="20109657" cy="468814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82A5ECDE-B7A1-4099-97D6-28E808B83789}"/>
              </a:ext>
            </a:extLst>
          </xdr:cNvPr>
          <xdr:cNvSpPr/>
        </xdr:nvSpPr>
        <xdr:spPr>
          <a:xfrm>
            <a:off x="11906" y="559593"/>
            <a:ext cx="20109657" cy="464344"/>
          </a:xfrm>
          <a:prstGeom prst="rect">
            <a:avLst/>
          </a:prstGeom>
          <a:solidFill>
            <a:schemeClr val="accent1">
              <a:lumMod val="5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7" name="Retângulo 46">
            <a:extLst>
              <a:ext uri="{FF2B5EF4-FFF2-40B4-BE49-F238E27FC236}">
                <a16:creationId xmlns:a16="http://schemas.microsoft.com/office/drawing/2014/main" id="{6A37D238-ED42-4089-B4E4-58D5CBF3291B}"/>
              </a:ext>
            </a:extLst>
          </xdr:cNvPr>
          <xdr:cNvSpPr/>
        </xdr:nvSpPr>
        <xdr:spPr>
          <a:xfrm>
            <a:off x="9091192" y="555123"/>
            <a:ext cx="2261242" cy="468013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400" b="1" cap="none" spc="0">
                <a:ln w="10160">
                  <a:solidFill>
                    <a:schemeClr val="accent5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22860" dir="5400000" algn="tl" rotWithShape="0">
                    <a:srgbClr val="000000">
                      <a:alpha val="30000"/>
                    </a:srgbClr>
                  </a:outerShdw>
                </a:effectLst>
              </a:rPr>
              <a:t>Quadro resumo </a:t>
            </a:r>
          </a:p>
        </xdr:txBody>
      </xdr:sp>
    </xdr:grpSp>
    <xdr:clientData/>
  </xdr:twoCellAnchor>
  <xdr:twoCellAnchor>
    <xdr:from>
      <xdr:col>0</xdr:col>
      <xdr:colOff>0</xdr:colOff>
      <xdr:row>15</xdr:row>
      <xdr:rowOff>11906</xdr:rowOff>
    </xdr:from>
    <xdr:to>
      <xdr:col>30</xdr:col>
      <xdr:colOff>11906</xdr:colOff>
      <xdr:row>15</xdr:row>
      <xdr:rowOff>190500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788625FD-CD91-4D2E-855B-1555E7A1826F}"/>
            </a:ext>
          </a:extLst>
        </xdr:cNvPr>
        <xdr:cNvSpPr/>
      </xdr:nvSpPr>
      <xdr:spPr>
        <a:xfrm>
          <a:off x="0" y="4167187"/>
          <a:ext cx="20133469" cy="178594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55</xdr:row>
      <xdr:rowOff>9525</xdr:rowOff>
    </xdr:from>
    <xdr:to>
      <xdr:col>30</xdr:col>
      <xdr:colOff>11906</xdr:colOff>
      <xdr:row>55</xdr:row>
      <xdr:rowOff>188119</xdr:rowOff>
    </xdr:to>
    <xdr:sp macro="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3FE06FFF-9121-44DF-8AD3-47C6B2AAD8EE}"/>
            </a:ext>
          </a:extLst>
        </xdr:cNvPr>
        <xdr:cNvSpPr/>
      </xdr:nvSpPr>
      <xdr:spPr>
        <a:xfrm>
          <a:off x="0" y="13261181"/>
          <a:ext cx="20133469" cy="178594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103</xdr:row>
      <xdr:rowOff>30955</xdr:rowOff>
    </xdr:from>
    <xdr:to>
      <xdr:col>30</xdr:col>
      <xdr:colOff>11906</xdr:colOff>
      <xdr:row>104</xdr:row>
      <xdr:rowOff>7143</xdr:rowOff>
    </xdr:to>
    <xdr:sp macro="" textlink="">
      <xdr:nvSpPr>
        <xdr:cNvPr id="49" name="Retângulo: Cantos Arredondados 48">
          <a:extLst>
            <a:ext uri="{FF2B5EF4-FFF2-40B4-BE49-F238E27FC236}">
              <a16:creationId xmlns:a16="http://schemas.microsoft.com/office/drawing/2014/main" id="{6CFAC5A2-0BE2-4ACE-8607-601DF1E2E527}"/>
            </a:ext>
          </a:extLst>
        </xdr:cNvPr>
        <xdr:cNvSpPr/>
      </xdr:nvSpPr>
      <xdr:spPr>
        <a:xfrm>
          <a:off x="0" y="24260174"/>
          <a:ext cx="20133469" cy="178594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141</xdr:row>
      <xdr:rowOff>16667</xdr:rowOff>
    </xdr:from>
    <xdr:to>
      <xdr:col>30</xdr:col>
      <xdr:colOff>11906</xdr:colOff>
      <xdr:row>141</xdr:row>
      <xdr:rowOff>195261</xdr:rowOff>
    </xdr:to>
    <xdr:sp macro="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E1F7070D-D3FF-49D2-8B49-4CF7976137B9}"/>
            </a:ext>
          </a:extLst>
        </xdr:cNvPr>
        <xdr:cNvSpPr/>
      </xdr:nvSpPr>
      <xdr:spPr>
        <a:xfrm>
          <a:off x="0" y="31080073"/>
          <a:ext cx="20133469" cy="178594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181</xdr:row>
      <xdr:rowOff>14285</xdr:rowOff>
    </xdr:from>
    <xdr:to>
      <xdr:col>30</xdr:col>
      <xdr:colOff>11906</xdr:colOff>
      <xdr:row>182</xdr:row>
      <xdr:rowOff>2379</xdr:rowOff>
    </xdr:to>
    <xdr:sp macro="" textlink="">
      <xdr:nvSpPr>
        <xdr:cNvPr id="51" name="Retângulo: Cantos Arredondados 50">
          <a:extLst>
            <a:ext uri="{FF2B5EF4-FFF2-40B4-BE49-F238E27FC236}">
              <a16:creationId xmlns:a16="http://schemas.microsoft.com/office/drawing/2014/main" id="{6963C16E-8204-4B73-A35F-EAED3BDEAFFA}"/>
            </a:ext>
          </a:extLst>
        </xdr:cNvPr>
        <xdr:cNvSpPr/>
      </xdr:nvSpPr>
      <xdr:spPr>
        <a:xfrm>
          <a:off x="0" y="39495410"/>
          <a:ext cx="20133469" cy="178594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9525</xdr:colOff>
      <xdr:row>17</xdr:row>
      <xdr:rowOff>221748</xdr:rowOff>
    </xdr:from>
    <xdr:to>
      <xdr:col>6</xdr:col>
      <xdr:colOff>0</xdr:colOff>
      <xdr:row>19</xdr:row>
      <xdr:rowOff>49515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E459E3B-4367-4E51-9350-28408B06CF56}"/>
            </a:ext>
          </a:extLst>
        </xdr:cNvPr>
        <xdr:cNvGrpSpPr/>
      </xdr:nvGrpSpPr>
      <xdr:grpSpPr>
        <a:xfrm>
          <a:off x="8420100" y="4812798"/>
          <a:ext cx="2933700" cy="256392"/>
          <a:chOff x="8224838" y="4841373"/>
          <a:chExt cx="3824287" cy="280205"/>
        </a:xfrm>
      </xdr:grpSpPr>
      <xdr:sp macro="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B1CEA427-1AA5-4B0C-A4DC-BB63A7399AB6}"/>
              </a:ext>
            </a:extLst>
          </xdr:cNvPr>
          <xdr:cNvSpPr/>
        </xdr:nvSpPr>
        <xdr:spPr>
          <a:xfrm>
            <a:off x="8224838" y="4867274"/>
            <a:ext cx="3824287" cy="204788"/>
          </a:xfrm>
          <a:prstGeom prst="round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5566B450-3578-45D6-B6E5-F050D6F865BC}"/>
              </a:ext>
            </a:extLst>
          </xdr:cNvPr>
          <xdr:cNvSpPr/>
        </xdr:nvSpPr>
        <xdr:spPr>
          <a:xfrm>
            <a:off x="9319310" y="4841373"/>
            <a:ext cx="1682066" cy="28020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Conversão dolar</a:t>
            </a:r>
          </a:p>
        </xdr:txBody>
      </xdr:sp>
    </xdr:grpSp>
    <xdr:clientData/>
  </xdr:twoCellAnchor>
  <xdr:twoCellAnchor>
    <xdr:from>
      <xdr:col>8</xdr:col>
      <xdr:colOff>1733</xdr:colOff>
      <xdr:row>57</xdr:row>
      <xdr:rowOff>142873</xdr:rowOff>
    </xdr:from>
    <xdr:to>
      <xdr:col>10</xdr:col>
      <xdr:colOff>8660</xdr:colOff>
      <xdr:row>59</xdr:row>
      <xdr:rowOff>47134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691DC691-B44F-457D-A8D2-BA0D80EADCD7}"/>
            </a:ext>
          </a:extLst>
        </xdr:cNvPr>
        <xdr:cNvGrpSpPr/>
      </xdr:nvGrpSpPr>
      <xdr:grpSpPr>
        <a:xfrm>
          <a:off x="14098733" y="13763623"/>
          <a:ext cx="3093027" cy="285261"/>
          <a:chOff x="8224838" y="4841373"/>
          <a:chExt cx="3824287" cy="280205"/>
        </a:xfrm>
      </xdr:grpSpPr>
      <xdr:sp macro="" textlink="">
        <xdr:nvSpPr>
          <xdr:cNvPr id="54" name="Retângulo: Cantos Arredondados 53">
            <a:extLst>
              <a:ext uri="{FF2B5EF4-FFF2-40B4-BE49-F238E27FC236}">
                <a16:creationId xmlns:a16="http://schemas.microsoft.com/office/drawing/2014/main" id="{9D069A82-6178-4731-97E5-8A0AE3669D57}"/>
              </a:ext>
            </a:extLst>
          </xdr:cNvPr>
          <xdr:cNvSpPr/>
        </xdr:nvSpPr>
        <xdr:spPr>
          <a:xfrm>
            <a:off x="8224838" y="4867274"/>
            <a:ext cx="3824287" cy="204788"/>
          </a:xfrm>
          <a:prstGeom prst="round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CB942807-D9E7-4466-870B-D2712B782D49}"/>
              </a:ext>
            </a:extLst>
          </xdr:cNvPr>
          <xdr:cNvSpPr/>
        </xdr:nvSpPr>
        <xdr:spPr>
          <a:xfrm>
            <a:off x="9319310" y="4841373"/>
            <a:ext cx="1682066" cy="28020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Conversão dolar</a:t>
            </a:r>
          </a:p>
        </xdr:txBody>
      </xdr:sp>
    </xdr:grpSp>
    <xdr:clientData/>
  </xdr:twoCellAnchor>
  <xdr:twoCellAnchor>
    <xdr:from>
      <xdr:col>6</xdr:col>
      <xdr:colOff>0</xdr:colOff>
      <xdr:row>57</xdr:row>
      <xdr:rowOff>126420</xdr:rowOff>
    </xdr:from>
    <xdr:to>
      <xdr:col>7</xdr:col>
      <xdr:colOff>1349306</xdr:colOff>
      <xdr:row>59</xdr:row>
      <xdr:rowOff>107156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F4396959-483F-4B68-9BBC-EE77009374F0}"/>
            </a:ext>
          </a:extLst>
        </xdr:cNvPr>
        <xdr:cNvGrpSpPr/>
      </xdr:nvGrpSpPr>
      <xdr:grpSpPr>
        <a:xfrm>
          <a:off x="11353800" y="13747170"/>
          <a:ext cx="2692331" cy="361736"/>
          <a:chOff x="12044795" y="13851079"/>
          <a:chExt cx="2674147" cy="361736"/>
        </a:xfrm>
      </xdr:grpSpPr>
      <xdr:sp macro="" textlink="">
        <xdr:nvSpPr>
          <xdr:cNvPr id="57" name="Retângulo: Cantos Arredondados 56">
            <a:extLst>
              <a:ext uri="{FF2B5EF4-FFF2-40B4-BE49-F238E27FC236}">
                <a16:creationId xmlns:a16="http://schemas.microsoft.com/office/drawing/2014/main" id="{1BB6DAE8-E809-44B8-A2D1-4B2B30C88D0A}"/>
              </a:ext>
            </a:extLst>
          </xdr:cNvPr>
          <xdr:cNvSpPr/>
        </xdr:nvSpPr>
        <xdr:spPr>
          <a:xfrm>
            <a:off x="12044795" y="13897840"/>
            <a:ext cx="2674147" cy="195911"/>
          </a:xfrm>
          <a:prstGeom prst="roundRec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244CAFC9-2C4B-48CD-974E-33720980ECDA}"/>
              </a:ext>
            </a:extLst>
          </xdr:cNvPr>
          <xdr:cNvSpPr/>
        </xdr:nvSpPr>
        <xdr:spPr>
          <a:xfrm>
            <a:off x="12174948" y="13851079"/>
            <a:ext cx="2438351" cy="361736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</a:bodyPr>
          <a:lstStyle/>
          <a:p>
            <a:pPr algn="ctr"/>
            <a:r>
              <a:rPr lang="pt-BR" sz="1200" b="1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Conversão precificação Cloud</a:t>
            </a:r>
          </a:p>
        </xdr:txBody>
      </xdr:sp>
    </xdr:grpSp>
    <xdr:clientData/>
  </xdr:twoCellAnchor>
  <xdr:twoCellAnchor>
    <xdr:from>
      <xdr:col>10</xdr:col>
      <xdr:colOff>419100</xdr:colOff>
      <xdr:row>85</xdr:row>
      <xdr:rowOff>109536</xdr:rowOff>
    </xdr:from>
    <xdr:to>
      <xdr:col>11</xdr:col>
      <xdr:colOff>1086644</xdr:colOff>
      <xdr:row>87</xdr:row>
      <xdr:rowOff>25399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86FC7F99-B1D6-48AD-B643-314E0E3989D9}"/>
            </a:ext>
          </a:extLst>
        </xdr:cNvPr>
        <xdr:cNvGrpSpPr/>
      </xdr:nvGrpSpPr>
      <xdr:grpSpPr>
        <a:xfrm>
          <a:off x="17602200" y="19816761"/>
          <a:ext cx="2067719" cy="592138"/>
          <a:chOff x="13668375" y="19907250"/>
          <a:chExt cx="2083594" cy="488156"/>
        </a:xfrm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77B3EE9E-B810-4D0B-BEA6-3CC00512D624}"/>
              </a:ext>
            </a:extLst>
          </xdr:cNvPr>
          <xdr:cNvSpPr/>
        </xdr:nvSpPr>
        <xdr:spPr>
          <a:xfrm>
            <a:off x="13668375" y="19907250"/>
            <a:ext cx="2083594" cy="488156"/>
          </a:xfrm>
          <a:prstGeom prst="roundRect">
            <a:avLst/>
          </a:prstGeom>
          <a:solidFill>
            <a:schemeClr val="accent1">
              <a:lumMod val="50000"/>
            </a:schemeClr>
          </a:solidFill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  <xdr:sp macro="[0]!senha_2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FACA291B-2F47-4031-B00F-FB316A7A5D9A}"/>
              </a:ext>
            </a:extLst>
          </xdr:cNvPr>
          <xdr:cNvSpPr/>
        </xdr:nvSpPr>
        <xdr:spPr>
          <a:xfrm>
            <a:off x="13745866" y="19980170"/>
            <a:ext cx="1904817" cy="34278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600" b="1" cap="none" spc="50" baseline="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Lista de precificação</a:t>
            </a:r>
            <a:endParaRPr lang="pt-BR" sz="16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0</xdr:row>
      <xdr:rowOff>19050</xdr:rowOff>
    </xdr:from>
    <xdr:to>
      <xdr:col>18</xdr:col>
      <xdr:colOff>0</xdr:colOff>
      <xdr:row>3</xdr:row>
      <xdr:rowOff>147316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A513FC1A-FF52-48F0-B130-8D3D86840217}"/>
            </a:ext>
          </a:extLst>
        </xdr:cNvPr>
        <xdr:cNvGrpSpPr/>
      </xdr:nvGrpSpPr>
      <xdr:grpSpPr>
        <a:xfrm>
          <a:off x="866775" y="19050"/>
          <a:ext cx="12346305" cy="699766"/>
          <a:chOff x="828675" y="19050"/>
          <a:chExt cx="11391900" cy="699766"/>
        </a:xfrm>
      </xdr:grpSpPr>
      <xdr:pic>
        <xdr:nvPicPr>
          <xdr:cNvPr id="2" name="Imagem 1">
            <a:extLst>
              <a:ext uri="{FF2B5EF4-FFF2-40B4-BE49-F238E27FC236}">
                <a16:creationId xmlns:a16="http://schemas.microsoft.com/office/drawing/2014/main" id="{E43B367C-F3DD-419B-AD9B-931C4ABE6B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8675" y="19050"/>
            <a:ext cx="901701" cy="699766"/>
          </a:xfrm>
          <a:prstGeom prst="rect">
            <a:avLst/>
          </a:prstGeom>
        </xdr:spPr>
      </xdr:pic>
      <xdr:pic>
        <xdr:nvPicPr>
          <xdr:cNvPr id="3" name="image2.png">
            <a:extLst>
              <a:ext uri="{FF2B5EF4-FFF2-40B4-BE49-F238E27FC236}">
                <a16:creationId xmlns:a16="http://schemas.microsoft.com/office/drawing/2014/main" id="{D31389D1-7C1A-470C-A1C7-62C014097189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039475" y="28575"/>
            <a:ext cx="1181100" cy="67818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0</xdr:col>
      <xdr:colOff>266700</xdr:colOff>
      <xdr:row>4</xdr:row>
      <xdr:rowOff>47625</xdr:rowOff>
    </xdr:from>
    <xdr:to>
      <xdr:col>2</xdr:col>
      <xdr:colOff>104775</xdr:colOff>
      <xdr:row>4</xdr:row>
      <xdr:rowOff>447675</xdr:rowOff>
    </xdr:to>
    <xdr:grpSp>
      <xdr:nvGrpSpPr>
        <xdr:cNvPr id="6" name="Agrupar 5">
          <a:hlinkClick xmlns:r="http://schemas.openxmlformats.org/officeDocument/2006/relationships" r:id="rId3" tooltip="Voltar para a página principal"/>
          <a:extLst>
            <a:ext uri="{FF2B5EF4-FFF2-40B4-BE49-F238E27FC236}">
              <a16:creationId xmlns:a16="http://schemas.microsoft.com/office/drawing/2014/main" id="{12F1C1E1-5CF3-415A-915D-39FEF4FAE05F}"/>
            </a:ext>
          </a:extLst>
        </xdr:cNvPr>
        <xdr:cNvGrpSpPr/>
      </xdr:nvGrpSpPr>
      <xdr:grpSpPr>
        <a:xfrm>
          <a:off x="266700" y="809625"/>
          <a:ext cx="1133475" cy="400050"/>
          <a:chOff x="266700" y="809625"/>
          <a:chExt cx="1057275" cy="400050"/>
        </a:xfrm>
      </xdr:grpSpPr>
      <xdr:sp macro="" textlink="">
        <xdr:nvSpPr>
          <xdr:cNvPr id="4" name="Seta: para a Direita 3">
            <a:extLst>
              <a:ext uri="{FF2B5EF4-FFF2-40B4-BE49-F238E27FC236}">
                <a16:creationId xmlns:a16="http://schemas.microsoft.com/office/drawing/2014/main" id="{67BF1C00-C0E7-428C-81BC-9D432F74C879}"/>
              </a:ext>
            </a:extLst>
          </xdr:cNvPr>
          <xdr:cNvSpPr/>
        </xdr:nvSpPr>
        <xdr:spPr>
          <a:xfrm rot="10800000">
            <a:off x="266700" y="809625"/>
            <a:ext cx="1057275" cy="400050"/>
          </a:xfrm>
          <a:prstGeom prst="rightArrow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55E9B343-ACA2-4973-8884-1DCE1B7AA1D4}"/>
              </a:ext>
            </a:extLst>
          </xdr:cNvPr>
          <xdr:cNvSpPr/>
        </xdr:nvSpPr>
        <xdr:spPr>
          <a:xfrm>
            <a:off x="582145" y="888498"/>
            <a:ext cx="569258" cy="256737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05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Voltar</a:t>
            </a:r>
          </a:p>
        </xdr:txBody>
      </xdr:sp>
    </xdr:grpSp>
    <xdr:clientData/>
  </xdr:twoCellAnchor>
  <xdr:twoCellAnchor>
    <xdr:from>
      <xdr:col>3</xdr:col>
      <xdr:colOff>180975</xdr:colOff>
      <xdr:row>4</xdr:row>
      <xdr:rowOff>95250</xdr:rowOff>
    </xdr:from>
    <xdr:to>
      <xdr:col>6</xdr:col>
      <xdr:colOff>257175</xdr:colOff>
      <xdr:row>4</xdr:row>
      <xdr:rowOff>412750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FFB8BF4-6CA8-4D60-BA45-D61B65404608}"/>
            </a:ext>
          </a:extLst>
        </xdr:cNvPr>
        <xdr:cNvGrpSpPr/>
      </xdr:nvGrpSpPr>
      <xdr:grpSpPr>
        <a:xfrm>
          <a:off x="2124075" y="857250"/>
          <a:ext cx="2019300" cy="317500"/>
          <a:chOff x="1464598" y="819355"/>
          <a:chExt cx="1905000" cy="317500"/>
        </a:xfrm>
      </xdr:grpSpPr>
      <xdr:sp macro="[0]!Salvar" textlink="">
        <xdr:nvSpPr>
          <xdr:cNvPr id="11" name="Retângulo: Cantos Arredondados 10">
            <a:extLst>
              <a:ext uri="{FF2B5EF4-FFF2-40B4-BE49-F238E27FC236}">
                <a16:creationId xmlns:a16="http://schemas.microsoft.com/office/drawing/2014/main" id="{86A2960E-11AC-4618-BA06-4B264E1FE54B}"/>
              </a:ext>
            </a:extLst>
          </xdr:cNvPr>
          <xdr:cNvSpPr/>
        </xdr:nvSpPr>
        <xdr:spPr>
          <a:xfrm>
            <a:off x="1464598" y="819355"/>
            <a:ext cx="1905000" cy="317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Salvar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D3C69FE2-F7B1-4AEB-9A9F-0629EC1028CE}"/>
              </a:ext>
            </a:extLst>
          </xdr:cNvPr>
          <xdr:cNvSpPr/>
        </xdr:nvSpPr>
        <xdr:spPr>
          <a:xfrm>
            <a:off x="1926213" y="821669"/>
            <a:ext cx="961289" cy="298800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>
                    <a:lumMod val="5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>
    <xdr:from>
      <xdr:col>16</xdr:col>
      <xdr:colOff>400050</xdr:colOff>
      <xdr:row>6</xdr:row>
      <xdr:rowOff>57150</xdr:rowOff>
    </xdr:from>
    <xdr:to>
      <xdr:col>16</xdr:col>
      <xdr:colOff>552450</xdr:colOff>
      <xdr:row>7</xdr:row>
      <xdr:rowOff>0</xdr:rowOff>
    </xdr:to>
    <xdr:sp macro="[0]!EstaPastaDeTrabalho.lsDesligarTelaCheia" textlink="">
      <xdr:nvSpPr>
        <xdr:cNvPr id="13" name="Elipse 12">
          <a:extLst>
            <a:ext uri="{FF2B5EF4-FFF2-40B4-BE49-F238E27FC236}">
              <a16:creationId xmlns:a16="http://schemas.microsoft.com/office/drawing/2014/main" id="{6D40CCE5-5FDF-4FDA-8C1F-1C4C4F867756}"/>
            </a:ext>
          </a:extLst>
        </xdr:cNvPr>
        <xdr:cNvSpPr/>
      </xdr:nvSpPr>
      <xdr:spPr>
        <a:xfrm>
          <a:off x="11401425" y="1543050"/>
          <a:ext cx="152400" cy="133350"/>
        </a:xfrm>
        <a:prstGeom prst="ellipse">
          <a:avLst/>
        </a:prstGeom>
        <a:solidFill>
          <a:schemeClr val="accent2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696058</xdr:colOff>
      <xdr:row>39</xdr:row>
      <xdr:rowOff>147869</xdr:rowOff>
    </xdr:from>
    <xdr:to>
      <xdr:col>6</xdr:col>
      <xdr:colOff>2540000</xdr:colOff>
      <xdr:row>43</xdr:row>
      <xdr:rowOff>170961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575564F-94EF-4098-939C-F505E964B669}"/>
            </a:ext>
          </a:extLst>
        </xdr:cNvPr>
        <xdr:cNvGrpSpPr/>
      </xdr:nvGrpSpPr>
      <xdr:grpSpPr>
        <a:xfrm>
          <a:off x="696058" y="8597104"/>
          <a:ext cx="16221089" cy="773886"/>
          <a:chOff x="696058" y="11196869"/>
          <a:chExt cx="15818478" cy="785092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F03AD35C-BA5D-4EC7-BD41-75F5B77CCBD9}"/>
              </a:ext>
            </a:extLst>
          </xdr:cNvPr>
          <xdr:cNvSpPr/>
        </xdr:nvSpPr>
        <xdr:spPr>
          <a:xfrm>
            <a:off x="696058" y="11232174"/>
            <a:ext cx="15818478" cy="749787"/>
          </a:xfrm>
          <a:prstGeom prst="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43F47AE7-FAD1-4D4A-B069-D374059445E5}"/>
              </a:ext>
            </a:extLst>
          </xdr:cNvPr>
          <xdr:cNvSpPr/>
        </xdr:nvSpPr>
        <xdr:spPr>
          <a:xfrm>
            <a:off x="6710226" y="11196869"/>
            <a:ext cx="3903184" cy="78111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4400" b="0" cap="none" spc="0">
                <a:ln w="0"/>
                <a:solidFill>
                  <a:schemeClr val="bg1">
                    <a:lumMod val="8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Lista</a:t>
            </a:r>
            <a:r>
              <a:rPr lang="pt-BR" sz="4400" b="0" cap="none" spc="0" baseline="0">
                <a:ln w="0"/>
                <a:solidFill>
                  <a:schemeClr val="bg1">
                    <a:lumMod val="8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de serviços</a:t>
            </a:r>
            <a:endParaRPr lang="pt-BR" sz="4400" b="0" cap="none" spc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0</xdr:col>
      <xdr:colOff>170962</xdr:colOff>
      <xdr:row>0</xdr:row>
      <xdr:rowOff>48846</xdr:rowOff>
    </xdr:from>
    <xdr:to>
      <xdr:col>1</xdr:col>
      <xdr:colOff>536229</xdr:colOff>
      <xdr:row>4</xdr:row>
      <xdr:rowOff>109904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A51A19A4-A61F-403B-AB7D-24987EFA0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962" y="48846"/>
          <a:ext cx="1085748" cy="842596"/>
        </a:xfrm>
        <a:prstGeom prst="rect">
          <a:avLst/>
        </a:prstGeom>
      </xdr:spPr>
    </xdr:pic>
    <xdr:clientData/>
  </xdr:twoCellAnchor>
  <xdr:twoCellAnchor>
    <xdr:from>
      <xdr:col>0</xdr:col>
      <xdr:colOff>243255</xdr:colOff>
      <xdr:row>5</xdr:row>
      <xdr:rowOff>70037</xdr:rowOff>
    </xdr:from>
    <xdr:to>
      <xdr:col>1</xdr:col>
      <xdr:colOff>770403</xdr:colOff>
      <xdr:row>8</xdr:row>
      <xdr:rowOff>56030</xdr:rowOff>
    </xdr:to>
    <xdr:grpSp>
      <xdr:nvGrpSpPr>
        <xdr:cNvPr id="3" name="Agrupar 2">
          <a:hlinkClick xmlns:r="http://schemas.openxmlformats.org/officeDocument/2006/relationships" r:id="rId2" tooltip="Voltar para a página principal"/>
          <a:extLst>
            <a:ext uri="{FF2B5EF4-FFF2-40B4-BE49-F238E27FC236}">
              <a16:creationId xmlns:a16="http://schemas.microsoft.com/office/drawing/2014/main" id="{3DCA7232-4C86-41BC-901E-B5A65151ADF4}"/>
            </a:ext>
          </a:extLst>
        </xdr:cNvPr>
        <xdr:cNvGrpSpPr/>
      </xdr:nvGrpSpPr>
      <xdr:grpSpPr>
        <a:xfrm>
          <a:off x="243255" y="966508"/>
          <a:ext cx="1255530" cy="523875"/>
          <a:chOff x="235734" y="809625"/>
          <a:chExt cx="1248735" cy="400050"/>
        </a:xfrm>
      </xdr:grpSpPr>
      <xdr:sp macro="" textlink="">
        <xdr:nvSpPr>
          <xdr:cNvPr id="4" name="Seta: para a Direita 3">
            <a:extLst>
              <a:ext uri="{FF2B5EF4-FFF2-40B4-BE49-F238E27FC236}">
                <a16:creationId xmlns:a16="http://schemas.microsoft.com/office/drawing/2014/main" id="{0EF01882-7C88-4DB9-9A17-DA4F9B13B0FA}"/>
              </a:ext>
            </a:extLst>
          </xdr:cNvPr>
          <xdr:cNvSpPr/>
        </xdr:nvSpPr>
        <xdr:spPr>
          <a:xfrm rot="10800000">
            <a:off x="266700" y="809625"/>
            <a:ext cx="1057275" cy="400050"/>
          </a:xfrm>
          <a:prstGeom prst="rightArrow">
            <a:avLst/>
          </a:prstGeom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Retângulo 4">
            <a:hlinkClick xmlns:r="http://schemas.openxmlformats.org/officeDocument/2006/relationships" r:id="rId2" tooltip="Voltar para página principal"/>
            <a:extLst>
              <a:ext uri="{FF2B5EF4-FFF2-40B4-BE49-F238E27FC236}">
                <a16:creationId xmlns:a16="http://schemas.microsoft.com/office/drawing/2014/main" id="{40891B05-3914-4F7A-B300-B54410DD5E2A}"/>
              </a:ext>
            </a:extLst>
          </xdr:cNvPr>
          <xdr:cNvSpPr/>
        </xdr:nvSpPr>
        <xdr:spPr>
          <a:xfrm>
            <a:off x="235734" y="858466"/>
            <a:ext cx="1248735" cy="282418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pt-BR" sz="2000" b="1" cap="none" spc="50">
                <a:ln w="0"/>
                <a:solidFill>
                  <a:schemeClr val="bg2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Voltar</a:t>
            </a:r>
          </a:p>
        </xdr:txBody>
      </xdr:sp>
    </xdr:grpSp>
    <xdr:clientData/>
  </xdr:twoCellAnchor>
  <xdr:oneCellAnchor>
    <xdr:from>
      <xdr:col>8</xdr:col>
      <xdr:colOff>85480</xdr:colOff>
      <xdr:row>0</xdr:row>
      <xdr:rowOff>97691</xdr:rowOff>
    </xdr:from>
    <xdr:ext cx="1245577" cy="732693"/>
    <xdr:pic>
      <xdr:nvPicPr>
        <xdr:cNvPr id="6" name="image2.png">
          <a:extLst>
            <a:ext uri="{FF2B5EF4-FFF2-40B4-BE49-F238E27FC236}">
              <a16:creationId xmlns:a16="http://schemas.microsoft.com/office/drawing/2014/main" id="{423C73EA-5E24-4599-8FB0-9DF8BD3263CF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542595" y="97691"/>
          <a:ext cx="1245577" cy="732693"/>
        </a:xfrm>
        <a:prstGeom prst="rect">
          <a:avLst/>
        </a:prstGeom>
        <a:noFill/>
      </xdr:spPr>
    </xdr:pic>
    <xdr:clientData fLocksWithSheet="0"/>
  </xdr:oneCellAnchor>
  <xdr:twoCellAnchor>
    <xdr:from>
      <xdr:col>1</xdr:col>
      <xdr:colOff>1186674</xdr:colOff>
      <xdr:row>5</xdr:row>
      <xdr:rowOff>176350</xdr:rowOff>
    </xdr:from>
    <xdr:to>
      <xdr:col>1</xdr:col>
      <xdr:colOff>3091674</xdr:colOff>
      <xdr:row>7</xdr:row>
      <xdr:rowOff>154081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E38F9EF5-69AE-4896-A64E-914E25FB6FA1}"/>
            </a:ext>
          </a:extLst>
        </xdr:cNvPr>
        <xdr:cNvGrpSpPr/>
      </xdr:nvGrpSpPr>
      <xdr:grpSpPr>
        <a:xfrm>
          <a:off x="1915056" y="1072821"/>
          <a:ext cx="1905000" cy="336319"/>
          <a:chOff x="1464598" y="819355"/>
          <a:chExt cx="1905000" cy="317500"/>
        </a:xfrm>
      </xdr:grpSpPr>
      <xdr:sp macro="[0]!Salvar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35A23975-2752-476E-A549-283CE4CA09CD}"/>
              </a:ext>
            </a:extLst>
          </xdr:cNvPr>
          <xdr:cNvSpPr/>
        </xdr:nvSpPr>
        <xdr:spPr>
          <a:xfrm>
            <a:off x="1464598" y="819355"/>
            <a:ext cx="1905000" cy="317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Salvar" textlink="">
        <xdr:nvSpPr>
          <xdr:cNvPr id="9" name="Retângulo 8">
            <a:extLst>
              <a:ext uri="{FF2B5EF4-FFF2-40B4-BE49-F238E27FC236}">
                <a16:creationId xmlns:a16="http://schemas.microsoft.com/office/drawing/2014/main" id="{DB5ADF4B-AB44-4234-B7CD-C16EFBB7EEA6}"/>
              </a:ext>
            </a:extLst>
          </xdr:cNvPr>
          <xdr:cNvSpPr/>
        </xdr:nvSpPr>
        <xdr:spPr>
          <a:xfrm>
            <a:off x="1912205" y="857735"/>
            <a:ext cx="961289" cy="255077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>
                    <a:lumMod val="5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SALVAR</a:t>
            </a:r>
          </a:p>
        </xdr:txBody>
      </xdr:sp>
    </xdr:grpSp>
    <xdr:clientData/>
  </xdr:twoCellAnchor>
  <xdr:twoCellAnchor>
    <xdr:from>
      <xdr:col>6</xdr:col>
      <xdr:colOff>647212</xdr:colOff>
      <xdr:row>40</xdr:row>
      <xdr:rowOff>27104</xdr:rowOff>
    </xdr:from>
    <xdr:to>
      <xdr:col>6</xdr:col>
      <xdr:colOff>2405673</xdr:colOff>
      <xdr:row>41</xdr:row>
      <xdr:rowOff>164976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DB538EED-6A0E-481C-9B53-D9309DC50D30}"/>
            </a:ext>
          </a:extLst>
        </xdr:cNvPr>
        <xdr:cNvGrpSpPr/>
      </xdr:nvGrpSpPr>
      <xdr:grpSpPr>
        <a:xfrm>
          <a:off x="15024359" y="8655633"/>
          <a:ext cx="1758461" cy="328372"/>
          <a:chOff x="14621748" y="10953640"/>
          <a:chExt cx="1758461" cy="328372"/>
        </a:xfrm>
      </xdr:grpSpPr>
      <xdr:sp macro="[0]!Adicionarlinha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83970E8-8429-4BBC-B332-6EE193313F47}"/>
              </a:ext>
            </a:extLst>
          </xdr:cNvPr>
          <xdr:cNvSpPr/>
        </xdr:nvSpPr>
        <xdr:spPr>
          <a:xfrm>
            <a:off x="14621748" y="10989317"/>
            <a:ext cx="1758461" cy="292695"/>
          </a:xfrm>
          <a:prstGeom prst="round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Adicionarlinha" textlink="">
        <xdr:nvSpPr>
          <xdr:cNvPr id="12" name="Retângulo 11">
            <a:extLst>
              <a:ext uri="{FF2B5EF4-FFF2-40B4-BE49-F238E27FC236}">
                <a16:creationId xmlns:a16="http://schemas.microsoft.com/office/drawing/2014/main" id="{5E167CCC-DDBF-4ECD-9F40-577701A16C3B}"/>
              </a:ext>
            </a:extLst>
          </xdr:cNvPr>
          <xdr:cNvSpPr/>
        </xdr:nvSpPr>
        <xdr:spPr>
          <a:xfrm>
            <a:off x="14823325" y="10953640"/>
            <a:ext cx="1340495" cy="31577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0">
                <a:ln w="0"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Adicionar</a:t>
            </a:r>
            <a:r>
              <a:rPr lang="pt-BR" sz="1400" b="1" cap="none" spc="0" baseline="0">
                <a:ln w="0"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Linha</a:t>
            </a:r>
            <a:endParaRPr lang="pt-BR" sz="1400" b="1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6</xdr:col>
      <xdr:colOff>653073</xdr:colOff>
      <xdr:row>42</xdr:row>
      <xdr:rowOff>8542</xdr:rowOff>
    </xdr:from>
    <xdr:to>
      <xdr:col>6</xdr:col>
      <xdr:colOff>2411534</xdr:colOff>
      <xdr:row>43</xdr:row>
      <xdr:rowOff>133818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E7576010-D1C8-4CCE-B0B6-40E67DA6E595}"/>
            </a:ext>
          </a:extLst>
        </xdr:cNvPr>
        <xdr:cNvGrpSpPr/>
      </xdr:nvGrpSpPr>
      <xdr:grpSpPr>
        <a:xfrm>
          <a:off x="15030220" y="9018071"/>
          <a:ext cx="1758461" cy="315776"/>
          <a:chOff x="14134611" y="11059984"/>
          <a:chExt cx="1758461" cy="320661"/>
        </a:xfrm>
      </xdr:grpSpPr>
      <xdr:sp macro="[0]!Excluirlinha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CAAFC123-0D2D-4F40-934D-807624080936}"/>
              </a:ext>
            </a:extLst>
          </xdr:cNvPr>
          <xdr:cNvSpPr/>
        </xdr:nvSpPr>
        <xdr:spPr>
          <a:xfrm>
            <a:off x="14134611" y="11071238"/>
            <a:ext cx="1758461" cy="297580"/>
          </a:xfrm>
          <a:prstGeom prst="round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190500" dist="228600" dir="270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Excluirlinha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78E0718E-1A50-422E-A9F7-7F57467D4B72}"/>
              </a:ext>
            </a:extLst>
          </xdr:cNvPr>
          <xdr:cNvSpPr/>
        </xdr:nvSpPr>
        <xdr:spPr>
          <a:xfrm>
            <a:off x="14372823" y="11059984"/>
            <a:ext cx="1340495" cy="32066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1400" b="1" cap="none" spc="0" baseline="0">
                <a:ln w="0"/>
                <a:solidFill>
                  <a:schemeClr val="bg1">
                    <a:lumMod val="9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Excluir Linha</a:t>
            </a:r>
            <a:endParaRPr lang="pt-BR" sz="1400" b="1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0</xdr:col>
      <xdr:colOff>0</xdr:colOff>
      <xdr:row>8</xdr:row>
      <xdr:rowOff>177805</xdr:rowOff>
    </xdr:from>
    <xdr:to>
      <xdr:col>12</xdr:col>
      <xdr:colOff>13606</xdr:colOff>
      <xdr:row>9</xdr:row>
      <xdr:rowOff>758790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ACA40CA1-0C30-4745-AB51-D4AA39D87CEB}"/>
            </a:ext>
          </a:extLst>
        </xdr:cNvPr>
        <xdr:cNvGrpSpPr/>
      </xdr:nvGrpSpPr>
      <xdr:grpSpPr>
        <a:xfrm>
          <a:off x="0" y="1612158"/>
          <a:ext cx="20598812" cy="771485"/>
          <a:chOff x="0" y="1511305"/>
          <a:chExt cx="19635106" cy="785092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9621C1B-5CCE-46FE-8CD5-4107EA3E2FFE}"/>
              </a:ext>
            </a:extLst>
          </xdr:cNvPr>
          <xdr:cNvSpPr/>
        </xdr:nvSpPr>
        <xdr:spPr>
          <a:xfrm>
            <a:off x="0" y="1546610"/>
            <a:ext cx="19635106" cy="749787"/>
          </a:xfrm>
          <a:prstGeom prst="rect">
            <a:avLst/>
          </a:prstGeom>
          <a:solidFill>
            <a:schemeClr val="accent5">
              <a:lumMod val="5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D839DB82-AE6B-4D0E-8D31-9320333B6AFB}"/>
              </a:ext>
            </a:extLst>
          </xdr:cNvPr>
          <xdr:cNvSpPr/>
        </xdr:nvSpPr>
        <xdr:spPr>
          <a:xfrm>
            <a:off x="8632145" y="1511305"/>
            <a:ext cx="2511137" cy="781111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r>
              <a:rPr lang="pt-BR" sz="4400" b="0" cap="none" spc="0" baseline="0">
                <a:ln w="0"/>
                <a:solidFill>
                  <a:schemeClr val="bg1">
                    <a:lumMod val="8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Simulador</a:t>
            </a:r>
            <a:endParaRPr lang="pt-BR" sz="4400" b="0" cap="none" spc="0">
              <a:ln w="0"/>
              <a:solidFill>
                <a:schemeClr val="bg1">
                  <a:lumMod val="8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1</xdr:col>
      <xdr:colOff>3352131</xdr:colOff>
      <xdr:row>5</xdr:row>
      <xdr:rowOff>193078</xdr:rowOff>
    </xdr:from>
    <xdr:to>
      <xdr:col>2</xdr:col>
      <xdr:colOff>1270239</xdr:colOff>
      <xdr:row>7</xdr:row>
      <xdr:rowOff>188120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3A5FD05-6BAB-4A01-A710-927945F48D3E}"/>
            </a:ext>
          </a:extLst>
        </xdr:cNvPr>
        <xdr:cNvGrpSpPr/>
      </xdr:nvGrpSpPr>
      <xdr:grpSpPr>
        <a:xfrm>
          <a:off x="4080513" y="1081929"/>
          <a:ext cx="1997050" cy="353630"/>
          <a:chOff x="1464598" y="819355"/>
          <a:chExt cx="1905000" cy="334821"/>
        </a:xfrm>
      </xdr:grpSpPr>
      <xdr:sp macro="[0]!Limpar_simulador_avulsos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835BAF37-F1B4-418C-985D-81B36261DD65}"/>
              </a:ext>
            </a:extLst>
          </xdr:cNvPr>
          <xdr:cNvSpPr/>
        </xdr:nvSpPr>
        <xdr:spPr>
          <a:xfrm>
            <a:off x="1464598" y="819355"/>
            <a:ext cx="1905000" cy="317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 prst="angle"/>
          </a:sp3d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Limpar_simulador_avulsos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30C41819-A175-4680-9C0C-3D676B8F0C0F}"/>
              </a:ext>
            </a:extLst>
          </xdr:cNvPr>
          <xdr:cNvSpPr/>
        </xdr:nvSpPr>
        <xdr:spPr>
          <a:xfrm>
            <a:off x="1951220" y="845891"/>
            <a:ext cx="911275" cy="30828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1400" b="1" cap="none" spc="50">
                <a:ln w="0"/>
                <a:solidFill>
                  <a:schemeClr val="bg1">
                    <a:lumMod val="50000"/>
                  </a:schemeClr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LIMPAR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ccerte-my.sharepoint.com/Users/patri/Desktop/Precifica&#231;&#227;o%20accerte%20Gov%20202101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VIÇO 1"/>
      <sheetName val="SERVIÇO 2"/>
      <sheetName val="SERVIÇO 3"/>
      <sheetName val="Produto"/>
      <sheetName val="Serviços Accerte"/>
      <sheetName val="ANÁLISE FINANCEIRA"/>
      <sheetName val="Dados"/>
      <sheetName val="Formação de preços "/>
    </sheetNames>
    <sheetDataSet>
      <sheetData sheetId="0"/>
      <sheetData sheetId="1"/>
      <sheetData sheetId="2"/>
      <sheetData sheetId="3"/>
      <sheetData sheetId="4"/>
      <sheetData sheetId="5"/>
      <sheetData sheetId="6">
        <row r="88">
          <cell r="D88" t="str">
            <v>8 horas/5 dias</v>
          </cell>
          <cell r="F88">
            <v>1</v>
          </cell>
          <cell r="H88">
            <v>0</v>
          </cell>
          <cell r="J88">
            <v>1</v>
          </cell>
          <cell r="K88">
            <v>57.556459330143539</v>
          </cell>
          <cell r="L88">
            <v>56.81818181818182</v>
          </cell>
          <cell r="N88">
            <v>45.454545454545453</v>
          </cell>
          <cell r="W88" t="str">
            <v>Equipe de banco de dados (DBAs)</v>
          </cell>
          <cell r="Y88">
            <v>8</v>
          </cell>
        </row>
        <row r="89">
          <cell r="D89" t="str">
            <v>24 horas/5 dias</v>
          </cell>
          <cell r="F89">
            <v>0.7</v>
          </cell>
          <cell r="H89">
            <v>0.30000000000000004</v>
          </cell>
          <cell r="J89">
            <v>1.1499999999999999</v>
          </cell>
          <cell r="K89">
            <v>66.189928229665071</v>
          </cell>
          <cell r="L89">
            <v>65.340909090909093</v>
          </cell>
          <cell r="W89" t="str">
            <v>Equipe de infraestrutura</v>
          </cell>
          <cell r="Y89">
            <v>9</v>
          </cell>
        </row>
        <row r="90">
          <cell r="D90" t="str">
            <v>24 horas/7 dias</v>
          </cell>
          <cell r="F90">
            <v>0.6</v>
          </cell>
          <cell r="H90">
            <v>0.4</v>
          </cell>
          <cell r="J90">
            <v>1.2000000000000002</v>
          </cell>
          <cell r="K90">
            <v>69.067751196172253</v>
          </cell>
          <cell r="L90">
            <v>68.181818181818201</v>
          </cell>
          <cell r="W90" t="str">
            <v>Equipe de (BI)</v>
          </cell>
          <cell r="Y90">
            <v>11</v>
          </cell>
        </row>
      </sheetData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Isadora Prado" id="{A0575B51-37CD-4019-A8F6-85254490EC33}" userId="7b5534513d5b5fbb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B45:G81" totalsRowShown="0" headerRowDxfId="7" dataDxfId="6">
  <autoFilter ref="B45:G81" xr:uid="{00000000-0009-0000-0100-000002000000}"/>
  <tableColumns count="6">
    <tableColumn id="1" xr3:uid="{00000000-0010-0000-0000-000001000000}" name="Nome do Serviço " dataDxfId="5"/>
    <tableColumn id="2" xr3:uid="{00000000-0010-0000-0000-000002000000}" name="Quantidade horas" dataDxfId="4"/>
    <tableColumn id="3" xr3:uid="{00000000-0010-0000-0000-000003000000}" name="Valor da hora trabalhada" dataDxfId="3"/>
    <tableColumn id="4" xr3:uid="{00000000-0010-0000-0000-000004000000}" name="Lucro estimado por serviço" dataDxfId="2"/>
    <tableColumn id="6" xr3:uid="{00000000-0010-0000-0000-000006000000}" name="Preço sugerido" dataDxfId="1">
      <calculatedColumnFormula>Tabela2[[#This Row],[Quantidade horas]]*Tabela2[[#This Row],[Valor da hora trabalhada]]</calculatedColumnFormula>
    </tableColumn>
    <tableColumn id="5" xr3:uid="{00000000-0010-0000-0000-000005000000}" name="Percentual de lucratividade" dataDxfId="0">
      <calculatedColumnFormula>IFERROR(Tabela2[[#This Row],[Lucro estimado por serviço]]/Tabela2[[#This Row],[Preço sugerido]],"")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1-03-17T16:55:52.50" personId="{A0575B51-37CD-4019-A8F6-85254490EC33}" id="{EC315EDC-B16F-46F4-807F-E70F7D9230C4}">
    <text>Percentual com referência ao valor repassado da Oracle, ou seja ao valor pago pelo VAD e não ao valor de venda da ACCERTE</text>
  </threadedComment>
  <threadedComment ref="C29" dT="2021-03-24T14:06:31.97" personId="{A0575B51-37CD-4019-A8F6-85254490EC33}" id="{824FA4FF-9A56-4CCA-8FED-29E3E8A90154}">
    <text>Impostos considerados: 
PIS: 1,65%
COFINS: 7,6%
ISS 2% (faturamento por brasilia)</text>
  </threadedComment>
  <threadedComment ref="G46" dT="2021-03-17T16:55:09.05" personId="{A0575B51-37CD-4019-A8F6-85254490EC33}" id="{EBD09D5F-3171-46C2-8B16-AC8B5A46F5F5}">
    <text>Percentual com referência ao valor repassado da Oracle, ou seja ao valor pago pelo VAD e não ao valor de venda da ACCERTE</text>
  </threadedComment>
  <threadedComment ref="C69" dT="2021-03-24T14:06:31.97" personId="{A0575B51-37CD-4019-A8F6-85254490EC33}" id="{982BD6CE-D45F-4EA8-9344-4FACA521CB95}">
    <text>Impostos considerados: 
PIS: 1,65%
COFINS: 7,6%
ISS 2% (faturamento por brasilia)</text>
  </threadedComment>
  <threadedComment ref="C110" dT="2021-03-24T14:06:31.97" personId="{A0575B51-37CD-4019-A8F6-85254490EC33}" id="{5B528BDF-61AA-44C3-A340-A6CC6364D692}">
    <text>Impostos considerados: 
PIS: 1,65%
COFINS: 7,6%
ISS 2% (faturamento por brasilia)</text>
  </threadedComment>
  <threadedComment ref="C148" dT="2021-03-24T14:06:31.97" personId="{A0575B51-37CD-4019-A8F6-85254490EC33}" id="{3BB914CE-85D4-47D1-837F-82C05F9DCBB0}">
    <text>Impostos considerados: 
PIS: 1,65%
COFINS: 7,6%
ISS 2% (faturamento por brasilia)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AI309"/>
  <sheetViews>
    <sheetView showGridLines="0" showRowColHeaders="0" showZeros="0" tabSelected="1" topLeftCell="B1" zoomScale="80" zoomScaleNormal="80" zoomScaleSheetLayoutView="100" workbookViewId="0">
      <pane ySplit="6" topLeftCell="A37" activePane="bottomLeft" state="frozen"/>
      <selection pane="bottomLeft" activeCell="K47" sqref="K47"/>
    </sheetView>
  </sheetViews>
  <sheetFormatPr defaultColWidth="9.44140625" defaultRowHeight="14.4" x14ac:dyDescent="0.3"/>
  <cols>
    <col min="1" max="1" width="14.5546875" style="25" customWidth="1"/>
    <col min="2" max="2" width="60" style="25" customWidth="1"/>
    <col min="3" max="3" width="25.5546875" style="25" bestFit="1" customWidth="1"/>
    <col min="4" max="4" width="22.5546875" style="25" customWidth="1"/>
    <col min="5" max="5" width="21" style="25" customWidth="1"/>
    <col min="6" max="6" width="22" style="25" customWidth="1"/>
    <col min="7" max="7" width="19.5546875" style="25" customWidth="1"/>
    <col min="8" max="8" width="20.44140625" style="24" bestFit="1" customWidth="1"/>
    <col min="9" max="9" width="22" style="24" customWidth="1"/>
    <col min="10" max="10" width="23" style="24" customWidth="1"/>
    <col min="11" max="11" width="20.44140625" style="24" bestFit="1" customWidth="1"/>
    <col min="12" max="12" width="16.44140625" style="24" customWidth="1"/>
    <col min="13" max="13" width="9.44140625" style="198" hidden="1" customWidth="1"/>
    <col min="14" max="14" width="18" style="198" hidden="1" customWidth="1"/>
    <col min="15" max="15" width="20.88671875" style="198" hidden="1" customWidth="1"/>
    <col min="16" max="16" width="16.88671875" style="198" hidden="1" customWidth="1"/>
    <col min="17" max="17" width="19" style="198" hidden="1" customWidth="1"/>
    <col min="18" max="18" width="8.44140625" style="198" hidden="1" customWidth="1"/>
    <col min="19" max="19" width="6" style="198" hidden="1" customWidth="1"/>
    <col min="20" max="20" width="7.44140625" style="198" hidden="1" customWidth="1"/>
    <col min="21" max="21" width="6" style="198" hidden="1" customWidth="1"/>
    <col min="22" max="22" width="18.88671875" style="198" hidden="1" customWidth="1"/>
    <col min="23" max="23" width="10.5546875" style="198" hidden="1" customWidth="1"/>
    <col min="24" max="24" width="13.109375" style="198" hidden="1" customWidth="1"/>
    <col min="25" max="25" width="11.44140625" style="198" hidden="1" customWidth="1"/>
    <col min="26" max="26" width="10.5546875" style="198" hidden="1" customWidth="1"/>
    <col min="27" max="27" width="18.5546875" style="198" hidden="1" customWidth="1"/>
    <col min="28" max="28" width="7.88671875" style="198" hidden="1" customWidth="1"/>
    <col min="29" max="29" width="16.44140625" style="198" hidden="1" customWidth="1"/>
    <col min="30" max="30" width="8.44140625" style="198" hidden="1" customWidth="1"/>
    <col min="31" max="34" width="0" style="24" hidden="1" customWidth="1"/>
    <col min="35" max="35" width="9.44140625" style="24" hidden="1" customWidth="1"/>
    <col min="36" max="36" width="0" style="24" hidden="1" customWidth="1"/>
    <col min="37" max="16384" width="9.44140625" style="24"/>
  </cols>
  <sheetData>
    <row r="1" spans="1:12" ht="15" customHeight="1" x14ac:dyDescent="0.3">
      <c r="A1" s="295"/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</row>
    <row r="2" spans="1:12" ht="15" customHeight="1" x14ac:dyDescent="0.3">
      <c r="A2" s="295"/>
      <c r="B2" s="295"/>
      <c r="C2" s="295"/>
      <c r="D2" s="295"/>
      <c r="E2" s="295"/>
      <c r="F2" s="295"/>
      <c r="G2" s="295"/>
      <c r="H2" s="295"/>
      <c r="I2" s="295"/>
      <c r="J2" s="295"/>
      <c r="K2" s="295"/>
      <c r="L2" s="295"/>
    </row>
    <row r="3" spans="1:12" ht="15" customHeight="1" x14ac:dyDescent="0.3">
      <c r="A3" s="295"/>
      <c r="B3" s="295"/>
      <c r="C3" s="295"/>
      <c r="D3" s="295"/>
      <c r="E3" s="295"/>
      <c r="F3" s="295"/>
      <c r="G3" s="295"/>
      <c r="H3" s="295"/>
      <c r="I3" s="295"/>
      <c r="J3" s="295"/>
      <c r="K3" s="295"/>
      <c r="L3" s="295"/>
    </row>
    <row r="4" spans="1:12" ht="15" customHeight="1" x14ac:dyDescent="0.3">
      <c r="A4" s="295"/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</row>
    <row r="5" spans="1:12" ht="31.2" x14ac:dyDescent="0.3">
      <c r="A5" s="117"/>
      <c r="B5" s="118"/>
      <c r="C5" s="118"/>
      <c r="D5" s="118"/>
      <c r="E5" s="118"/>
      <c r="F5" s="119"/>
      <c r="G5" s="119"/>
      <c r="H5" s="119"/>
      <c r="I5" s="119"/>
      <c r="J5" s="119"/>
      <c r="K5" s="119"/>
      <c r="L5" s="119"/>
    </row>
    <row r="6" spans="1:12" ht="23.4" x14ac:dyDescent="0.45">
      <c r="A6" s="310" t="s">
        <v>0</v>
      </c>
      <c r="B6" s="310"/>
      <c r="C6" s="311"/>
      <c r="D6" s="311"/>
      <c r="E6" s="311"/>
      <c r="F6" s="174" t="s">
        <v>1</v>
      </c>
      <c r="G6" s="312"/>
      <c r="H6" s="312"/>
      <c r="I6" s="175"/>
      <c r="J6" s="176"/>
      <c r="K6" s="313"/>
      <c r="L6" s="313"/>
    </row>
    <row r="7" spans="1:12" ht="39.75" customHeight="1" thickBot="1" x14ac:dyDescent="0.35">
      <c r="A7" s="308" t="s">
        <v>2</v>
      </c>
      <c r="B7" s="308"/>
      <c r="C7" s="308"/>
      <c r="D7" s="308"/>
      <c r="E7" s="308"/>
      <c r="F7" s="308"/>
      <c r="G7" s="308"/>
      <c r="H7" s="308"/>
      <c r="I7" s="308"/>
      <c r="J7" s="308"/>
      <c r="K7" s="309">
        <f ca="1">TODAY()</f>
        <v>45210</v>
      </c>
      <c r="L7" s="309"/>
    </row>
    <row r="8" spans="1:12" ht="37.5" customHeight="1" thickTop="1" thickBot="1" x14ac:dyDescent="0.35">
      <c r="A8" s="251" t="s">
        <v>3</v>
      </c>
      <c r="B8" s="252"/>
      <c r="C8" s="252"/>
      <c r="D8" s="252"/>
      <c r="E8" s="252"/>
      <c r="F8" s="252"/>
      <c r="G8" s="252"/>
      <c r="H8" s="252"/>
      <c r="I8" s="252"/>
      <c r="J8" s="252"/>
      <c r="K8" s="252"/>
      <c r="L8" s="80"/>
    </row>
    <row r="9" spans="1:12" ht="30" customHeight="1" thickTop="1" x14ac:dyDescent="0.3">
      <c r="A9" s="91" t="s">
        <v>4</v>
      </c>
      <c r="B9" s="92" t="s">
        <v>5</v>
      </c>
      <c r="C9" s="92" t="s">
        <v>6</v>
      </c>
      <c r="D9" s="59" t="s">
        <v>7</v>
      </c>
      <c r="E9" s="91" t="s">
        <v>8</v>
      </c>
      <c r="F9" s="93" t="s">
        <v>9</v>
      </c>
      <c r="G9" s="59" t="s">
        <v>10</v>
      </c>
      <c r="H9" s="59" t="s">
        <v>11</v>
      </c>
      <c r="I9" s="59" t="s">
        <v>12</v>
      </c>
      <c r="J9" s="65" t="s">
        <v>13</v>
      </c>
      <c r="K9" s="36" t="s">
        <v>14</v>
      </c>
      <c r="L9" s="36" t="s">
        <v>15</v>
      </c>
    </row>
    <row r="10" spans="1:12" ht="18.600000000000001" customHeight="1" x14ac:dyDescent="0.35">
      <c r="A10" s="299">
        <v>1</v>
      </c>
      <c r="B10" s="296"/>
      <c r="C10" s="89" t="s">
        <v>16</v>
      </c>
      <c r="D10" s="38"/>
      <c r="E10" s="95"/>
      <c r="F10" s="47">
        <f>(D10*(1-E10))*$A$10</f>
        <v>0</v>
      </c>
      <c r="G10" s="38"/>
      <c r="H10" s="68" t="str">
        <f>IFERROR(IF(G10&lt;&gt;0,I10/(F10),""),"")</f>
        <v/>
      </c>
      <c r="I10" s="47" t="str">
        <f>IF(G10&lt;&gt;0,G10-F10,"")</f>
        <v/>
      </c>
      <c r="J10" s="44">
        <f>IFERROR(VLOOKUP(B14,O219:Z220,11,FALSE),"")</f>
        <v>0</v>
      </c>
      <c r="K10" s="18"/>
      <c r="L10" s="50" t="str">
        <f>Y240</f>
        <v/>
      </c>
    </row>
    <row r="11" spans="1:12" ht="18.600000000000001" customHeight="1" x14ac:dyDescent="0.35">
      <c r="A11" s="300"/>
      <c r="B11" s="297"/>
      <c r="C11" s="90" t="s">
        <v>17</v>
      </c>
      <c r="D11" s="39"/>
      <c r="E11" s="96"/>
      <c r="F11" s="53">
        <f t="shared" ref="F11:F13" si="0">(D11*(1-E11))*$A$10</f>
        <v>0</v>
      </c>
      <c r="G11" s="39"/>
      <c r="H11" s="69" t="str">
        <f>IFERROR(IF(G11&lt;&gt;0,I11/(F11),""),"")</f>
        <v/>
      </c>
      <c r="I11" s="53" t="str">
        <f t="shared" ref="I11:I13" si="1">IF(G11&lt;&gt;0,G11-F11,"")</f>
        <v/>
      </c>
      <c r="J11" s="55">
        <f>IFERROR(VLOOKUP(B14,O221:Z222,11,FALSE),"")</f>
        <v>0</v>
      </c>
      <c r="K11" s="19"/>
      <c r="L11" s="54" t="str">
        <f>Y241</f>
        <v/>
      </c>
    </row>
    <row r="12" spans="1:12" ht="18.600000000000001" customHeight="1" x14ac:dyDescent="0.35">
      <c r="A12" s="300"/>
      <c r="B12" s="297"/>
      <c r="C12" s="90" t="s">
        <v>18</v>
      </c>
      <c r="D12" s="40"/>
      <c r="E12" s="95"/>
      <c r="F12" s="48">
        <f t="shared" si="0"/>
        <v>0</v>
      </c>
      <c r="G12" s="40"/>
      <c r="H12" s="70" t="str">
        <f t="shared" ref="H12:H13" si="2">IFERROR(IF(G12&lt;&gt;0,I12/(F12),""),"")</f>
        <v/>
      </c>
      <c r="I12" s="48" t="str">
        <f t="shared" si="1"/>
        <v/>
      </c>
      <c r="J12" s="45">
        <f>IFERROR(VLOOKUP(B14,O223:Z224,11,FALSE),"")</f>
        <v>0</v>
      </c>
      <c r="K12" s="18"/>
      <c r="L12" s="51" t="str">
        <f>Y242</f>
        <v/>
      </c>
    </row>
    <row r="13" spans="1:12" ht="18.600000000000001" customHeight="1" x14ac:dyDescent="0.35">
      <c r="A13" s="301"/>
      <c r="B13" s="298"/>
      <c r="C13" s="90" t="s">
        <v>19</v>
      </c>
      <c r="D13" s="39"/>
      <c r="E13" s="96"/>
      <c r="F13" s="53">
        <f t="shared" si="0"/>
        <v>0</v>
      </c>
      <c r="G13" s="39"/>
      <c r="H13" s="69" t="str">
        <f t="shared" si="2"/>
        <v/>
      </c>
      <c r="I13" s="53" t="str">
        <f t="shared" si="1"/>
        <v/>
      </c>
      <c r="J13" s="56">
        <f>IFERROR(VLOOKUP(B14,O225:Z226,11,FALSE),"")</f>
        <v>0</v>
      </c>
      <c r="K13" s="19"/>
      <c r="L13" s="54" t="str">
        <f>Y243</f>
        <v/>
      </c>
    </row>
    <row r="14" spans="1:12" ht="15" customHeight="1" x14ac:dyDescent="0.3">
      <c r="A14" s="237"/>
      <c r="B14" s="304" t="str">
        <f>IF(C14="SP","ESTADO DE SÃO PAULO","OUTROS ESTADOS")</f>
        <v>OUTROS ESTADOS</v>
      </c>
      <c r="C14" s="306" t="s">
        <v>20</v>
      </c>
      <c r="D14" s="237">
        <f>SUM(D10:D13)</f>
        <v>0</v>
      </c>
      <c r="E14" s="302" t="str">
        <f>IFERROR(1-(F14/(D14*A10)),"")</f>
        <v/>
      </c>
      <c r="F14" s="237">
        <f>SUM(F10:F13)</f>
        <v>0</v>
      </c>
      <c r="G14" s="237">
        <f>SUM(G10:G13)</f>
        <v>0</v>
      </c>
      <c r="H14" s="302" t="str">
        <f>IFERROR(I14/D14,"")</f>
        <v/>
      </c>
      <c r="I14" s="237">
        <f>SUM(I10:I13)</f>
        <v>0</v>
      </c>
      <c r="J14" s="277">
        <f>SUM(J10:J13)</f>
        <v>0</v>
      </c>
      <c r="K14" s="257" t="s">
        <v>21</v>
      </c>
      <c r="L14" s="259" t="str">
        <f>Y246</f>
        <v/>
      </c>
    </row>
    <row r="15" spans="1:12" ht="15" customHeight="1" x14ac:dyDescent="0.3">
      <c r="A15" s="238"/>
      <c r="B15" s="305"/>
      <c r="C15" s="307"/>
      <c r="D15" s="238"/>
      <c r="E15" s="303"/>
      <c r="F15" s="238"/>
      <c r="G15" s="238"/>
      <c r="H15" s="303"/>
      <c r="I15" s="238"/>
      <c r="J15" s="278"/>
      <c r="K15" s="258"/>
      <c r="L15" s="258"/>
    </row>
    <row r="16" spans="1:12" ht="15" thickBot="1" x14ac:dyDescent="0.35">
      <c r="A16" s="3"/>
      <c r="B16" s="3"/>
      <c r="C16" s="3"/>
      <c r="D16" s="3"/>
      <c r="E16" s="3"/>
      <c r="F16" s="3"/>
      <c r="G16" s="3"/>
      <c r="H16" s="3"/>
      <c r="I16" s="3"/>
      <c r="J16" s="32"/>
      <c r="K16" s="32"/>
      <c r="L16" s="81"/>
    </row>
    <row r="17" spans="1:12" ht="19.2" thickTop="1" thickBot="1" x14ac:dyDescent="0.4">
      <c r="A17" s="314" t="s">
        <v>22</v>
      </c>
      <c r="B17" s="315"/>
      <c r="C17" s="315"/>
      <c r="D17" s="315"/>
      <c r="E17" s="315"/>
      <c r="F17" s="315"/>
      <c r="G17" s="315"/>
      <c r="H17" s="315"/>
      <c r="I17" s="315"/>
      <c r="J17" s="315"/>
      <c r="K17" s="315"/>
      <c r="L17" s="82"/>
    </row>
    <row r="18" spans="1:12" ht="19.2" thickTop="1" thickBot="1" x14ac:dyDescent="0.4">
      <c r="A18" s="8"/>
      <c r="B18" s="8"/>
      <c r="C18" s="8"/>
      <c r="D18" s="8"/>
      <c r="E18" s="8"/>
      <c r="F18" s="1"/>
      <c r="G18" s="1"/>
      <c r="H18" s="1"/>
      <c r="I18" s="1"/>
      <c r="J18" s="1"/>
      <c r="K18" s="1"/>
      <c r="L18" s="1"/>
    </row>
    <row r="19" spans="1:12" x14ac:dyDescent="0.3">
      <c r="A19" s="1"/>
      <c r="B19" s="248" t="s">
        <v>23</v>
      </c>
      <c r="C19" s="97" t="str">
        <f>IFERROR(C20/J14,"")</f>
        <v/>
      </c>
      <c r="D19" s="1"/>
      <c r="E19" s="250" t="s">
        <v>24</v>
      </c>
      <c r="F19" s="250"/>
      <c r="G19" s="1"/>
      <c r="H19" s="1"/>
      <c r="I19" s="1"/>
      <c r="J19" s="1"/>
      <c r="K19" s="1"/>
      <c r="L19" s="1"/>
    </row>
    <row r="20" spans="1:12" ht="15" thickBot="1" x14ac:dyDescent="0.35">
      <c r="A20" s="1"/>
      <c r="B20" s="249"/>
      <c r="C20" s="98">
        <f>IFERROR(VLOOKUP(B14,O231:R232,4,FALSE),"")</f>
        <v>0</v>
      </c>
      <c r="D20" s="1"/>
      <c r="E20" s="120" t="s">
        <v>25</v>
      </c>
      <c r="F20" s="121">
        <v>5.2739000000000003</v>
      </c>
      <c r="G20" s="1"/>
      <c r="H20" s="1"/>
      <c r="I20" s="1"/>
      <c r="J20" s="1"/>
      <c r="K20" s="1"/>
      <c r="L20" s="1"/>
    </row>
    <row r="21" spans="1:12" x14ac:dyDescent="0.3">
      <c r="A21" s="1"/>
      <c r="B21" s="248" t="s">
        <v>26</v>
      </c>
      <c r="C21" s="99" t="str">
        <f>H14</f>
        <v/>
      </c>
      <c r="D21" s="1"/>
      <c r="E21" s="120" t="s">
        <v>27</v>
      </c>
      <c r="F21" s="122">
        <v>30000</v>
      </c>
      <c r="G21" s="1"/>
      <c r="H21" s="1"/>
      <c r="I21" s="1"/>
      <c r="J21" s="1"/>
      <c r="K21" s="1"/>
      <c r="L21" s="1"/>
    </row>
    <row r="22" spans="1:12" ht="15" thickBot="1" x14ac:dyDescent="0.35">
      <c r="A22" s="1"/>
      <c r="B22" s="249"/>
      <c r="C22" s="100">
        <f>IFERROR(SUM(I10:I13),"")</f>
        <v>0</v>
      </c>
      <c r="D22" s="94"/>
      <c r="E22" s="123" t="s">
        <v>28</v>
      </c>
      <c r="F22" s="124">
        <f>F21*F20</f>
        <v>158217</v>
      </c>
      <c r="G22" s="1"/>
      <c r="H22" s="1"/>
      <c r="I22" s="1"/>
      <c r="J22" s="1"/>
      <c r="K22" s="1"/>
      <c r="L22" s="1"/>
    </row>
    <row r="23" spans="1:12" ht="15" thickBot="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 ht="27" customHeight="1" thickTop="1" thickBot="1" x14ac:dyDescent="0.35">
      <c r="A24" s="230" t="s">
        <v>29</v>
      </c>
      <c r="B24" s="230"/>
      <c r="C24" s="230"/>
      <c r="D24" s="230"/>
      <c r="E24" s="230"/>
      <c r="F24" s="230"/>
      <c r="G24" s="230"/>
      <c r="H24" s="230"/>
      <c r="I24" s="230"/>
      <c r="J24" s="230"/>
      <c r="K24" s="230"/>
      <c r="L24" s="83"/>
    </row>
    <row r="25" spans="1:12" ht="21.6" thickTop="1" x14ac:dyDescent="0.4">
      <c r="A25" s="5"/>
      <c r="B25" s="5"/>
      <c r="C25" s="5"/>
      <c r="D25" s="5"/>
      <c r="E25" s="5"/>
      <c r="F25" s="5"/>
      <c r="G25" s="5"/>
      <c r="H25" s="5"/>
      <c r="I25" s="5"/>
      <c r="J25" s="7"/>
      <c r="K25" s="7"/>
      <c r="L25" s="7"/>
    </row>
    <row r="26" spans="1:12" ht="27" customHeight="1" x14ac:dyDescent="0.4">
      <c r="A26" s="5"/>
      <c r="B26" s="11" t="s">
        <v>30</v>
      </c>
      <c r="C26" s="12" t="s">
        <v>31</v>
      </c>
      <c r="D26" s="12" t="s">
        <v>32</v>
      </c>
      <c r="E26" s="5"/>
      <c r="F26" s="5"/>
      <c r="G26" s="5"/>
      <c r="H26" s="5"/>
      <c r="I26" s="5"/>
      <c r="J26" s="7"/>
      <c r="K26" s="7"/>
      <c r="L26" s="7"/>
    </row>
    <row r="27" spans="1:12" ht="15" customHeight="1" x14ac:dyDescent="0.4">
      <c r="A27" s="6"/>
      <c r="B27" s="242" t="s">
        <v>33</v>
      </c>
      <c r="C27" s="245">
        <v>0.4</v>
      </c>
      <c r="D27" s="246">
        <f>IFERROR(VLOOKUP(B14,O219:AA220,13,FALSE),"")</f>
        <v>0</v>
      </c>
      <c r="E27" s="6"/>
      <c r="F27" s="7"/>
      <c r="G27" s="7"/>
      <c r="H27" s="7"/>
      <c r="I27" s="5"/>
      <c r="J27" s="7"/>
      <c r="K27" s="7"/>
      <c r="L27" s="7"/>
    </row>
    <row r="28" spans="1:12" ht="15" customHeight="1" x14ac:dyDescent="0.4">
      <c r="A28" s="6"/>
      <c r="B28" s="242"/>
      <c r="C28" s="245"/>
      <c r="D28" s="246"/>
      <c r="E28" s="6"/>
      <c r="F28" s="7"/>
      <c r="G28" s="7"/>
      <c r="H28" s="7"/>
      <c r="I28" s="5"/>
      <c r="J28" s="7"/>
      <c r="K28" s="7"/>
      <c r="L28" s="7"/>
    </row>
    <row r="29" spans="1:12" ht="21" x14ac:dyDescent="0.4">
      <c r="A29" s="6"/>
      <c r="B29" s="242" t="s">
        <v>34</v>
      </c>
      <c r="C29" s="243">
        <v>0.1125</v>
      </c>
      <c r="D29" s="247">
        <f>IFERROR(D27*C29,"")</f>
        <v>0</v>
      </c>
      <c r="E29" s="6"/>
      <c r="F29" s="7"/>
      <c r="G29" s="7"/>
      <c r="H29" s="7"/>
      <c r="I29" s="5"/>
      <c r="J29" s="7"/>
      <c r="K29" s="7"/>
      <c r="L29" s="7"/>
    </row>
    <row r="30" spans="1:12" ht="15" customHeight="1" x14ac:dyDescent="0.4">
      <c r="A30" s="6"/>
      <c r="B30" s="242"/>
      <c r="C30" s="244"/>
      <c r="D30" s="247"/>
      <c r="E30" s="6"/>
      <c r="F30" s="7"/>
      <c r="G30" s="7"/>
      <c r="H30" s="7"/>
      <c r="I30" s="5"/>
      <c r="J30" s="7"/>
      <c r="K30" s="7"/>
      <c r="L30" s="7"/>
    </row>
    <row r="31" spans="1:12" ht="15" customHeight="1" x14ac:dyDescent="0.4">
      <c r="A31" s="6"/>
      <c r="B31" s="242" t="s">
        <v>35</v>
      </c>
      <c r="C31" s="239"/>
      <c r="D31" s="241">
        <f>IFERROR(D27*C31,"")</f>
        <v>0</v>
      </c>
      <c r="E31" s="6"/>
      <c r="F31" s="7"/>
      <c r="G31" s="7"/>
      <c r="H31" s="7"/>
      <c r="I31" s="5"/>
      <c r="J31" s="7"/>
      <c r="K31" s="7"/>
      <c r="L31" s="7"/>
    </row>
    <row r="32" spans="1:12" ht="15" customHeight="1" x14ac:dyDescent="0.4">
      <c r="A32" s="6"/>
      <c r="B32" s="242"/>
      <c r="C32" s="240"/>
      <c r="D32" s="241"/>
      <c r="E32" s="6"/>
      <c r="F32" s="7"/>
      <c r="G32" s="7"/>
      <c r="H32" s="7"/>
      <c r="I32" s="5"/>
      <c r="J32" s="7"/>
      <c r="K32" s="7"/>
      <c r="L32" s="7"/>
    </row>
    <row r="33" spans="1:12" ht="15" customHeight="1" x14ac:dyDescent="0.4">
      <c r="A33" s="6"/>
      <c r="B33" s="235" t="s">
        <v>36</v>
      </c>
      <c r="C33" s="243">
        <v>0.08</v>
      </c>
      <c r="D33" s="233">
        <f>IFERROR(($D$27-$D$29)*C33,"")</f>
        <v>0</v>
      </c>
      <c r="E33" s="6"/>
      <c r="F33" s="7"/>
      <c r="G33" s="7"/>
      <c r="H33" s="7"/>
      <c r="I33" s="5"/>
      <c r="J33" s="7"/>
      <c r="K33" s="7"/>
      <c r="L33" s="7"/>
    </row>
    <row r="34" spans="1:12" ht="15" customHeight="1" x14ac:dyDescent="0.4">
      <c r="A34" s="6"/>
      <c r="B34" s="236"/>
      <c r="C34" s="244"/>
      <c r="D34" s="234"/>
      <c r="E34" s="6"/>
      <c r="F34" s="7"/>
      <c r="G34" s="7"/>
      <c r="H34" s="7"/>
      <c r="I34" s="5"/>
      <c r="J34" s="7"/>
      <c r="K34" s="7"/>
      <c r="L34" s="7"/>
    </row>
    <row r="35" spans="1:12" ht="15" customHeight="1" x14ac:dyDescent="0.4">
      <c r="A35" s="6"/>
      <c r="B35" s="235" t="s">
        <v>37</v>
      </c>
      <c r="C35" s="243">
        <v>0.04</v>
      </c>
      <c r="D35" s="233">
        <f>IFERROR(($D$27-$D$29)*C35,"")</f>
        <v>0</v>
      </c>
      <c r="E35" s="6"/>
      <c r="F35" s="7"/>
      <c r="G35" s="7"/>
      <c r="H35" s="7"/>
      <c r="I35" s="5"/>
      <c r="J35" s="7"/>
      <c r="K35" s="7"/>
      <c r="L35" s="7"/>
    </row>
    <row r="36" spans="1:12" ht="15" customHeight="1" x14ac:dyDescent="0.4">
      <c r="A36" s="6"/>
      <c r="B36" s="236"/>
      <c r="C36" s="244"/>
      <c r="D36" s="234"/>
      <c r="E36" s="6"/>
      <c r="F36" s="7"/>
      <c r="G36" s="7"/>
      <c r="H36" s="7"/>
      <c r="I36" s="5"/>
      <c r="J36" s="7"/>
      <c r="K36" s="7"/>
      <c r="L36" s="7"/>
    </row>
    <row r="37" spans="1:12" ht="15" customHeight="1" x14ac:dyDescent="0.4">
      <c r="A37" s="6"/>
      <c r="B37" s="235" t="s">
        <v>38</v>
      </c>
      <c r="C37" s="243">
        <v>0.01</v>
      </c>
      <c r="D37" s="233">
        <f>IFERROR(($D$27-$D$29)*C37,"")</f>
        <v>0</v>
      </c>
      <c r="E37" s="6"/>
      <c r="F37" s="7"/>
      <c r="G37" s="7"/>
      <c r="H37" s="7"/>
      <c r="I37" s="5"/>
      <c r="J37" s="7"/>
      <c r="K37" s="7"/>
      <c r="L37" s="7"/>
    </row>
    <row r="38" spans="1:12" ht="15" customHeight="1" x14ac:dyDescent="0.4">
      <c r="A38" s="6"/>
      <c r="B38" s="236"/>
      <c r="C38" s="244"/>
      <c r="D38" s="234"/>
      <c r="E38" s="6"/>
      <c r="F38" s="7"/>
      <c r="G38" s="7"/>
      <c r="H38" s="7"/>
      <c r="I38" s="5"/>
      <c r="J38" s="7"/>
      <c r="K38" s="7"/>
      <c r="L38" s="7"/>
    </row>
    <row r="39" spans="1:12" ht="15" customHeight="1" x14ac:dyDescent="0.4">
      <c r="A39" s="6"/>
      <c r="B39" s="235" t="s">
        <v>39</v>
      </c>
      <c r="C39" s="243"/>
      <c r="D39" s="233">
        <f>IFERROR(($D$27-$D$29)*C39,"")</f>
        <v>0</v>
      </c>
      <c r="E39" s="6"/>
      <c r="F39" s="7"/>
      <c r="G39" s="7"/>
      <c r="H39" s="7"/>
      <c r="I39" s="5"/>
      <c r="J39" s="7"/>
      <c r="K39" s="5"/>
      <c r="L39" s="7"/>
    </row>
    <row r="40" spans="1:12" ht="15" customHeight="1" x14ac:dyDescent="0.4">
      <c r="A40" s="6"/>
      <c r="B40" s="236"/>
      <c r="C40" s="244"/>
      <c r="D40" s="234"/>
      <c r="E40" s="6"/>
      <c r="F40" s="7"/>
      <c r="G40" s="7"/>
      <c r="H40" s="7"/>
      <c r="I40" s="5"/>
      <c r="J40" s="7"/>
      <c r="K40" s="5"/>
      <c r="L40" s="7"/>
    </row>
    <row r="41" spans="1:12" ht="15" customHeight="1" x14ac:dyDescent="0.4">
      <c r="A41" s="6"/>
      <c r="B41" s="235" t="s">
        <v>40</v>
      </c>
      <c r="C41" s="316" t="str">
        <f>IFERROR(D41/J14,"")</f>
        <v/>
      </c>
      <c r="D41" s="262">
        <f>IFERROR(D27-D29-D31-D33-D35-D37-D39,"")</f>
        <v>0</v>
      </c>
      <c r="E41" s="6"/>
      <c r="F41" s="7"/>
      <c r="G41" s="7"/>
      <c r="H41" s="7"/>
      <c r="I41" s="5"/>
      <c r="J41" s="7"/>
      <c r="K41" s="5"/>
      <c r="L41" s="7"/>
    </row>
    <row r="42" spans="1:12" ht="15" customHeight="1" x14ac:dyDescent="0.4">
      <c r="A42" s="6"/>
      <c r="B42" s="236"/>
      <c r="C42" s="317"/>
      <c r="D42" s="263"/>
      <c r="E42" s="6"/>
      <c r="F42" s="7"/>
      <c r="G42" s="7"/>
      <c r="H42" s="7"/>
      <c r="I42" s="5"/>
      <c r="J42" s="7"/>
      <c r="K42" s="5"/>
      <c r="L42" s="7"/>
    </row>
    <row r="43" spans="1:12" ht="27" customHeight="1" x14ac:dyDescent="0.4">
      <c r="A43" s="6"/>
      <c r="B43" s="6"/>
      <c r="C43" s="6"/>
      <c r="D43" s="7"/>
      <c r="E43" s="6"/>
      <c r="F43" s="7"/>
      <c r="G43" s="7"/>
      <c r="H43" s="7"/>
      <c r="I43" s="5"/>
      <c r="J43" s="7"/>
      <c r="K43" s="5"/>
      <c r="L43" s="7"/>
    </row>
    <row r="44" spans="1:12" ht="21.6" thickBot="1" x14ac:dyDescent="0.45">
      <c r="A44" s="6"/>
      <c r="B44" s="6"/>
      <c r="C44" s="6"/>
      <c r="D44" s="7"/>
      <c r="E44" s="6"/>
      <c r="F44" s="7"/>
      <c r="G44" s="7"/>
      <c r="H44" s="7"/>
      <c r="I44" s="5"/>
      <c r="J44" s="7"/>
      <c r="K44" s="5"/>
      <c r="L44" s="7"/>
    </row>
    <row r="45" spans="1:12" ht="40.5" customHeight="1" thickTop="1" thickBot="1" x14ac:dyDescent="0.35">
      <c r="A45" s="251" t="s">
        <v>41</v>
      </c>
      <c r="B45" s="252"/>
      <c r="C45" s="252"/>
      <c r="D45" s="252"/>
      <c r="E45" s="252"/>
      <c r="F45" s="252"/>
      <c r="G45" s="252"/>
      <c r="H45" s="252"/>
      <c r="I45" s="252"/>
      <c r="J45" s="252"/>
      <c r="K45" s="252"/>
      <c r="L45" s="84"/>
    </row>
    <row r="46" spans="1:12" ht="30.75" customHeight="1" thickTop="1" x14ac:dyDescent="0.3">
      <c r="A46" s="57" t="s">
        <v>42</v>
      </c>
      <c r="B46" s="58" t="s">
        <v>5</v>
      </c>
      <c r="C46" s="59" t="s">
        <v>7</v>
      </c>
      <c r="D46" s="58" t="s">
        <v>8</v>
      </c>
      <c r="E46" s="59" t="s">
        <v>9</v>
      </c>
      <c r="F46" s="59" t="s">
        <v>10</v>
      </c>
      <c r="G46" s="59" t="s">
        <v>11</v>
      </c>
      <c r="H46" s="59" t="s">
        <v>12</v>
      </c>
      <c r="I46" s="65" t="s">
        <v>13</v>
      </c>
      <c r="J46" s="36" t="s">
        <v>14</v>
      </c>
      <c r="K46" s="36" t="s">
        <v>15</v>
      </c>
      <c r="L46" s="197" t="s">
        <v>43</v>
      </c>
    </row>
    <row r="47" spans="1:12" ht="15.6" x14ac:dyDescent="0.3">
      <c r="A47" s="13">
        <v>1</v>
      </c>
      <c r="B47" s="14" t="s">
        <v>44</v>
      </c>
      <c r="C47" s="38">
        <v>7000</v>
      </c>
      <c r="D47" s="26"/>
      <c r="E47" s="47">
        <v>7000</v>
      </c>
      <c r="F47" s="38">
        <v>7000</v>
      </c>
      <c r="G47" s="68">
        <v>0.28000000000000003</v>
      </c>
      <c r="H47" s="47">
        <f>IF(F47&lt;&gt;0,F47-E47,"")</f>
        <v>0</v>
      </c>
      <c r="I47" s="44">
        <f t="shared" ref="I47:I53" si="3">IFERROR(R256,"")</f>
        <v>9722.2222222222226</v>
      </c>
      <c r="J47" s="18"/>
      <c r="K47" s="50">
        <v>0.28000000000000003</v>
      </c>
      <c r="L47" s="44">
        <f t="shared" ref="L47:L53" si="4">IFERROR(I47*A47,"")</f>
        <v>9722.2222222222226</v>
      </c>
    </row>
    <row r="48" spans="1:12" ht="15.6" x14ac:dyDescent="0.3">
      <c r="A48" s="15"/>
      <c r="B48" s="16"/>
      <c r="C48" s="39"/>
      <c r="D48" s="27"/>
      <c r="E48" s="53">
        <f t="shared" ref="E48:E53" si="5">(C48*(1-D48))*A48</f>
        <v>0</v>
      </c>
      <c r="F48" s="39"/>
      <c r="G48" s="69" t="str">
        <f t="shared" ref="G48:G53" si="6">IFERROR(IF(F48&lt;&gt;0,H48/(E48),""),"")</f>
        <v/>
      </c>
      <c r="H48" s="53" t="str">
        <f t="shared" ref="H48:H53" si="7">IF(F48&lt;&gt;0,F48-E48,"")</f>
        <v/>
      </c>
      <c r="I48" s="55">
        <f t="shared" si="3"/>
        <v>0</v>
      </c>
      <c r="J48" s="19"/>
      <c r="K48" s="54" t="str">
        <f t="shared" ref="K48:K53" si="8">R280</f>
        <v/>
      </c>
      <c r="L48" s="55">
        <f t="shared" si="4"/>
        <v>0</v>
      </c>
    </row>
    <row r="49" spans="1:12" ht="15.6" x14ac:dyDescent="0.3">
      <c r="A49" s="13"/>
      <c r="B49" s="17"/>
      <c r="C49" s="40"/>
      <c r="D49" s="26"/>
      <c r="E49" s="48">
        <f t="shared" si="5"/>
        <v>0</v>
      </c>
      <c r="F49" s="40"/>
      <c r="G49" s="70" t="str">
        <f t="shared" si="6"/>
        <v/>
      </c>
      <c r="H49" s="48" t="str">
        <f t="shared" si="7"/>
        <v/>
      </c>
      <c r="I49" s="45">
        <f t="shared" si="3"/>
        <v>0</v>
      </c>
      <c r="J49" s="18"/>
      <c r="K49" s="51" t="str">
        <f t="shared" si="8"/>
        <v/>
      </c>
      <c r="L49" s="45">
        <f t="shared" si="4"/>
        <v>0</v>
      </c>
    </row>
    <row r="50" spans="1:12" ht="15.6" x14ac:dyDescent="0.3">
      <c r="A50" s="15"/>
      <c r="B50" s="16"/>
      <c r="C50" s="39"/>
      <c r="D50" s="27"/>
      <c r="E50" s="53">
        <f t="shared" si="5"/>
        <v>0</v>
      </c>
      <c r="F50" s="39"/>
      <c r="G50" s="69" t="str">
        <f t="shared" si="6"/>
        <v/>
      </c>
      <c r="H50" s="53" t="str">
        <f t="shared" si="7"/>
        <v/>
      </c>
      <c r="I50" s="56">
        <f t="shared" si="3"/>
        <v>0</v>
      </c>
      <c r="J50" s="19"/>
      <c r="K50" s="54" t="str">
        <f t="shared" si="8"/>
        <v/>
      </c>
      <c r="L50" s="56">
        <f t="shared" si="4"/>
        <v>0</v>
      </c>
    </row>
    <row r="51" spans="1:12" ht="15.6" x14ac:dyDescent="0.3">
      <c r="A51" s="13"/>
      <c r="B51" s="17"/>
      <c r="C51" s="40"/>
      <c r="D51" s="26"/>
      <c r="E51" s="48">
        <f t="shared" si="5"/>
        <v>0</v>
      </c>
      <c r="F51" s="40"/>
      <c r="G51" s="70" t="str">
        <f t="shared" si="6"/>
        <v/>
      </c>
      <c r="H51" s="48" t="str">
        <f t="shared" si="7"/>
        <v/>
      </c>
      <c r="I51" s="45">
        <f t="shared" si="3"/>
        <v>0</v>
      </c>
      <c r="J51" s="18"/>
      <c r="K51" s="51" t="str">
        <f t="shared" si="8"/>
        <v/>
      </c>
      <c r="L51" s="45">
        <f t="shared" si="4"/>
        <v>0</v>
      </c>
    </row>
    <row r="52" spans="1:12" ht="15" customHeight="1" x14ac:dyDescent="0.3">
      <c r="A52" s="15"/>
      <c r="B52" s="16"/>
      <c r="C52" s="39"/>
      <c r="D52" s="27"/>
      <c r="E52" s="53">
        <f t="shared" si="5"/>
        <v>0</v>
      </c>
      <c r="F52" s="39"/>
      <c r="G52" s="69" t="str">
        <f t="shared" si="6"/>
        <v/>
      </c>
      <c r="H52" s="53" t="str">
        <f t="shared" si="7"/>
        <v/>
      </c>
      <c r="I52" s="56">
        <f t="shared" si="3"/>
        <v>0</v>
      </c>
      <c r="J52" s="19"/>
      <c r="K52" s="54" t="str">
        <f t="shared" si="8"/>
        <v/>
      </c>
      <c r="L52" s="56">
        <f t="shared" si="4"/>
        <v>0</v>
      </c>
    </row>
    <row r="53" spans="1:12" ht="15" customHeight="1" x14ac:dyDescent="0.3">
      <c r="A53" s="13"/>
      <c r="B53" s="17"/>
      <c r="C53" s="40"/>
      <c r="D53" s="26"/>
      <c r="E53" s="49">
        <f t="shared" si="5"/>
        <v>0</v>
      </c>
      <c r="F53" s="40"/>
      <c r="G53" s="71"/>
      <c r="H53" s="49" t="str">
        <f t="shared" si="7"/>
        <v/>
      </c>
      <c r="I53" s="46">
        <f t="shared" si="3"/>
        <v>0</v>
      </c>
      <c r="J53" s="18"/>
      <c r="K53" s="52" t="str">
        <f t="shared" si="8"/>
        <v/>
      </c>
      <c r="L53" s="46">
        <f t="shared" si="4"/>
        <v>0</v>
      </c>
    </row>
    <row r="54" spans="1:12" ht="15" customHeight="1" x14ac:dyDescent="0.3">
      <c r="A54" s="253" t="s">
        <v>45</v>
      </c>
      <c r="B54" s="254"/>
      <c r="C54" s="237"/>
      <c r="D54" s="237"/>
      <c r="E54" s="237">
        <f>SUM(E47:E53)</f>
        <v>7000</v>
      </c>
      <c r="F54" s="237">
        <f>SUM(F47:F53)</f>
        <v>7000</v>
      </c>
      <c r="G54" s="237"/>
      <c r="H54" s="237">
        <f>SUM(H47:H53)</f>
        <v>0</v>
      </c>
      <c r="I54" s="277">
        <f>SUM(I47:I53)</f>
        <v>9722.2222222222226</v>
      </c>
      <c r="J54" s="257" t="s">
        <v>21</v>
      </c>
      <c r="K54" s="259" t="str">
        <f>IFERROR(Q290,"")</f>
        <v/>
      </c>
      <c r="L54" s="277"/>
    </row>
    <row r="55" spans="1:12" ht="15" customHeight="1" x14ac:dyDescent="0.3">
      <c r="A55" s="255"/>
      <c r="B55" s="256"/>
      <c r="C55" s="238"/>
      <c r="D55" s="238"/>
      <c r="E55" s="238"/>
      <c r="F55" s="238"/>
      <c r="G55" s="238"/>
      <c r="H55" s="238"/>
      <c r="I55" s="278"/>
      <c r="J55" s="258"/>
      <c r="K55" s="258"/>
      <c r="L55" s="278"/>
    </row>
    <row r="56" spans="1:12" ht="15" thickBot="1" x14ac:dyDescent="0.35">
      <c r="A56" s="28"/>
      <c r="B56" s="29"/>
      <c r="C56" s="30"/>
      <c r="D56" s="30"/>
      <c r="E56" s="31"/>
      <c r="F56" s="3"/>
      <c r="G56" s="3"/>
      <c r="H56" s="3"/>
      <c r="I56" s="3"/>
      <c r="J56" s="3"/>
      <c r="K56" s="3"/>
      <c r="L56" s="3"/>
    </row>
    <row r="57" spans="1:12" ht="22.5" customHeight="1" thickTop="1" thickBot="1" x14ac:dyDescent="0.35">
      <c r="A57" s="260" t="s">
        <v>46</v>
      </c>
      <c r="B57" s="261"/>
      <c r="C57" s="261"/>
      <c r="D57" s="261"/>
      <c r="E57" s="261"/>
      <c r="F57" s="261"/>
      <c r="G57" s="261"/>
      <c r="H57" s="261"/>
      <c r="I57" s="261"/>
      <c r="J57" s="261"/>
      <c r="K57" s="261"/>
      <c r="L57" s="82"/>
    </row>
    <row r="58" spans="1:12" ht="15" customHeight="1" thickTop="1" thickBot="1" x14ac:dyDescent="0.4">
      <c r="A58" s="8"/>
      <c r="B58" s="8"/>
      <c r="C58" s="8"/>
      <c r="D58" s="8"/>
      <c r="E58" s="8"/>
      <c r="F58" s="1"/>
      <c r="G58" s="1"/>
      <c r="H58" s="1"/>
      <c r="I58" s="1"/>
      <c r="J58" s="1"/>
      <c r="K58" s="1"/>
      <c r="L58" s="1"/>
    </row>
    <row r="59" spans="1:12" ht="15" customHeight="1" x14ac:dyDescent="0.3">
      <c r="A59" s="1"/>
      <c r="B59" s="248" t="s">
        <v>23</v>
      </c>
      <c r="C59" s="66">
        <v>0</v>
      </c>
      <c r="D59" s="248" t="s">
        <v>47</v>
      </c>
      <c r="E59" s="67">
        <v>0</v>
      </c>
      <c r="F59" s="1"/>
      <c r="G59" s="250" t="s">
        <v>48</v>
      </c>
      <c r="H59" s="250"/>
      <c r="I59" s="250" t="s">
        <v>24</v>
      </c>
      <c r="J59" s="250"/>
      <c r="K59" s="1"/>
      <c r="L59" s="1"/>
    </row>
    <row r="60" spans="1:12" ht="15" customHeight="1" thickBot="1" x14ac:dyDescent="0.35">
      <c r="A60" s="1"/>
      <c r="B60" s="249"/>
      <c r="C60" s="9">
        <f>IFERROR(R264*C59,"")</f>
        <v>0</v>
      </c>
      <c r="D60" s="249"/>
      <c r="E60" s="10">
        <f>IFERROR(R264*E59,"")</f>
        <v>0</v>
      </c>
      <c r="F60" s="1"/>
      <c r="G60" s="120" t="s">
        <v>49</v>
      </c>
      <c r="H60" s="125">
        <v>0.1215</v>
      </c>
      <c r="I60" s="120" t="s">
        <v>25</v>
      </c>
      <c r="J60" s="121">
        <v>5.01</v>
      </c>
      <c r="K60" s="1"/>
      <c r="L60" s="1"/>
    </row>
    <row r="61" spans="1:12" ht="15" customHeight="1" x14ac:dyDescent="0.3">
      <c r="A61" s="1"/>
      <c r="B61" s="248" t="s">
        <v>26</v>
      </c>
      <c r="C61" s="67">
        <v>0</v>
      </c>
      <c r="D61" s="248" t="s">
        <v>50</v>
      </c>
      <c r="E61" s="67">
        <v>0</v>
      </c>
      <c r="F61" s="1"/>
      <c r="G61" s="120" t="s">
        <v>51</v>
      </c>
      <c r="H61" s="121">
        <v>50100</v>
      </c>
      <c r="I61" s="120" t="s">
        <v>27</v>
      </c>
      <c r="J61" s="122">
        <v>10000</v>
      </c>
      <c r="K61" s="1"/>
      <c r="L61" s="1"/>
    </row>
    <row r="62" spans="1:12" ht="15" customHeight="1" thickBot="1" x14ac:dyDescent="0.35">
      <c r="A62" s="1"/>
      <c r="B62" s="249"/>
      <c r="C62" s="10">
        <f>IFERROR(R264*C61,"")</f>
        <v>0</v>
      </c>
      <c r="D62" s="249"/>
      <c r="E62" s="10">
        <f>IFERROR(R264*E61,"")</f>
        <v>0</v>
      </c>
      <c r="F62" s="1"/>
      <c r="G62" s="123" t="s">
        <v>52</v>
      </c>
      <c r="H62" s="124">
        <f>H61/(1-H60)</f>
        <v>57029.026750142286</v>
      </c>
      <c r="I62" s="123" t="s">
        <v>28</v>
      </c>
      <c r="J62" s="124">
        <f>J61*J60</f>
        <v>50100</v>
      </c>
      <c r="K62" s="1"/>
      <c r="L62" s="1"/>
    </row>
    <row r="63" spans="1:12" ht="24.75" customHeight="1" thickBot="1" x14ac:dyDescent="0.35">
      <c r="A63" s="1"/>
      <c r="B63" s="1"/>
      <c r="C63" s="1"/>
      <c r="D63" s="2"/>
      <c r="E63" s="1"/>
      <c r="F63" s="1"/>
      <c r="G63" s="1"/>
      <c r="H63" s="1"/>
      <c r="I63" s="1"/>
      <c r="J63" s="1"/>
      <c r="K63" s="1"/>
      <c r="L63" s="1"/>
    </row>
    <row r="64" spans="1:12" ht="27" customHeight="1" thickTop="1" thickBot="1" x14ac:dyDescent="0.45">
      <c r="A64" s="230" t="s">
        <v>53</v>
      </c>
      <c r="B64" s="230"/>
      <c r="C64" s="230"/>
      <c r="D64" s="230"/>
      <c r="E64" s="230"/>
      <c r="F64" s="230"/>
      <c r="G64" s="230"/>
      <c r="H64" s="230"/>
      <c r="I64" s="230"/>
      <c r="J64" s="230"/>
      <c r="K64" s="230"/>
      <c r="L64" s="85"/>
    </row>
    <row r="65" spans="1:12" ht="15" customHeight="1" thickTop="1" x14ac:dyDescent="0.4">
      <c r="A65" s="5"/>
      <c r="B65" s="5"/>
      <c r="C65" s="5" t="s">
        <v>54</v>
      </c>
      <c r="D65" s="5"/>
      <c r="E65" s="5"/>
      <c r="F65" s="5"/>
      <c r="G65" s="5"/>
      <c r="H65" s="5"/>
      <c r="I65" s="5"/>
      <c r="J65" s="5"/>
      <c r="K65" s="5"/>
      <c r="L65" s="5"/>
    </row>
    <row r="66" spans="1:12" ht="27" customHeight="1" x14ac:dyDescent="0.4">
      <c r="A66" s="5"/>
      <c r="B66" s="11" t="s">
        <v>30</v>
      </c>
      <c r="C66" s="12" t="s">
        <v>31</v>
      </c>
      <c r="D66" s="12" t="s">
        <v>32</v>
      </c>
      <c r="E66" s="5"/>
      <c r="F66" s="5"/>
      <c r="G66" s="5"/>
      <c r="H66" s="5"/>
      <c r="I66" s="5"/>
      <c r="J66" s="5"/>
      <c r="K66" s="5"/>
      <c r="L66" s="5"/>
    </row>
    <row r="67" spans="1:12" ht="15" customHeight="1" x14ac:dyDescent="0.4">
      <c r="A67" s="6"/>
      <c r="B67" s="242" t="s">
        <v>33</v>
      </c>
      <c r="C67" s="245">
        <v>0.28000000000000003</v>
      </c>
      <c r="D67" s="246">
        <f>IFERROR(SUM(P267:P273),"")</f>
        <v>2722.2222222222226</v>
      </c>
      <c r="E67" s="6"/>
      <c r="F67" s="7"/>
      <c r="G67" s="7"/>
      <c r="H67" s="7"/>
      <c r="I67" s="7"/>
      <c r="J67" s="5"/>
      <c r="K67" s="5"/>
      <c r="L67" s="5"/>
    </row>
    <row r="68" spans="1:12" ht="15" customHeight="1" x14ac:dyDescent="0.4">
      <c r="A68" s="6"/>
      <c r="B68" s="242"/>
      <c r="C68" s="245"/>
      <c r="D68" s="246"/>
      <c r="E68" s="6"/>
      <c r="F68" s="7"/>
      <c r="G68" s="7"/>
      <c r="H68" s="7"/>
      <c r="I68" s="7"/>
      <c r="J68" s="5"/>
      <c r="K68" s="5"/>
      <c r="L68" s="5"/>
    </row>
    <row r="69" spans="1:12" ht="15" customHeight="1" x14ac:dyDescent="0.4">
      <c r="A69" s="6"/>
      <c r="B69" s="242" t="s">
        <v>34</v>
      </c>
      <c r="C69" s="243">
        <v>0.1125</v>
      </c>
      <c r="D69" s="247">
        <f>IFERROR(D67*C69,"")</f>
        <v>306.25000000000006</v>
      </c>
      <c r="E69" s="6"/>
      <c r="F69" s="7"/>
      <c r="G69" s="7"/>
      <c r="H69" s="7"/>
      <c r="I69" s="7"/>
      <c r="J69" s="5"/>
      <c r="K69" s="5"/>
      <c r="L69" s="5"/>
    </row>
    <row r="70" spans="1:12" ht="15" customHeight="1" x14ac:dyDescent="0.4">
      <c r="A70" s="6"/>
      <c r="B70" s="242"/>
      <c r="C70" s="244"/>
      <c r="D70" s="247"/>
      <c r="E70" s="6"/>
      <c r="F70" s="7"/>
      <c r="G70" s="7"/>
      <c r="H70" s="7"/>
      <c r="I70" s="7"/>
      <c r="J70" s="5"/>
      <c r="K70" s="5"/>
      <c r="L70" s="5"/>
    </row>
    <row r="71" spans="1:12" ht="15" customHeight="1" x14ac:dyDescent="0.4">
      <c r="A71" s="6"/>
      <c r="B71" s="242" t="s">
        <v>35</v>
      </c>
      <c r="C71" s="239"/>
      <c r="D71" s="241">
        <f>IFERROR(D67*C71,"")</f>
        <v>0</v>
      </c>
      <c r="E71" s="6"/>
      <c r="F71" s="7"/>
      <c r="G71" s="7"/>
      <c r="H71" s="7"/>
      <c r="I71" s="7"/>
      <c r="J71" s="5"/>
      <c r="K71" s="5"/>
      <c r="L71" s="5"/>
    </row>
    <row r="72" spans="1:12" ht="15" customHeight="1" x14ac:dyDescent="0.4">
      <c r="A72" s="6"/>
      <c r="B72" s="242"/>
      <c r="C72" s="240"/>
      <c r="D72" s="241"/>
      <c r="E72" s="6"/>
      <c r="F72" s="7"/>
      <c r="G72" s="7"/>
      <c r="H72" s="7"/>
      <c r="I72" s="7"/>
      <c r="J72" s="5"/>
      <c r="K72" s="5"/>
      <c r="L72" s="5"/>
    </row>
    <row r="73" spans="1:12" ht="15" customHeight="1" x14ac:dyDescent="0.4">
      <c r="A73" s="6"/>
      <c r="B73" s="235" t="s">
        <v>36</v>
      </c>
      <c r="C73" s="243">
        <v>0.06</v>
      </c>
      <c r="D73" s="233">
        <f>IFERROR(($D$67-$D$69)*C73,"")</f>
        <v>144.95833333333334</v>
      </c>
      <c r="E73" s="6"/>
      <c r="F73" s="7"/>
      <c r="G73" s="7"/>
      <c r="H73" s="7"/>
      <c r="I73" s="7"/>
      <c r="J73" s="5"/>
      <c r="K73" s="5"/>
      <c r="L73" s="5"/>
    </row>
    <row r="74" spans="1:12" ht="15" customHeight="1" x14ac:dyDescent="0.4">
      <c r="A74" s="6"/>
      <c r="B74" s="236"/>
      <c r="C74" s="244"/>
      <c r="D74" s="234"/>
      <c r="E74" s="6"/>
      <c r="F74" s="7"/>
      <c r="G74" s="7"/>
      <c r="H74" s="7"/>
      <c r="I74" s="7"/>
      <c r="J74" s="5"/>
      <c r="K74" s="5"/>
      <c r="L74" s="5"/>
    </row>
    <row r="75" spans="1:12" ht="15" customHeight="1" x14ac:dyDescent="0.4">
      <c r="A75" s="6"/>
      <c r="B75" s="235" t="s">
        <v>37</v>
      </c>
      <c r="C75" s="243">
        <v>0.06</v>
      </c>
      <c r="D75" s="233">
        <f>IFERROR(($D$67-$D$69)*C75,"")</f>
        <v>144.95833333333334</v>
      </c>
      <c r="E75" s="6"/>
      <c r="F75" s="7"/>
      <c r="G75" s="7"/>
      <c r="H75" s="7"/>
      <c r="I75" s="7"/>
      <c r="J75" s="5"/>
      <c r="K75" s="5"/>
      <c r="L75" s="5"/>
    </row>
    <row r="76" spans="1:12" ht="15" customHeight="1" x14ac:dyDescent="0.4">
      <c r="A76" s="6"/>
      <c r="B76" s="236"/>
      <c r="C76" s="244"/>
      <c r="D76" s="234"/>
      <c r="E76" s="6"/>
      <c r="F76" s="7"/>
      <c r="G76" s="7"/>
      <c r="H76" s="7"/>
      <c r="I76" s="7"/>
      <c r="J76" s="5"/>
      <c r="K76" s="5"/>
      <c r="L76" s="5"/>
    </row>
    <row r="77" spans="1:12" ht="15" customHeight="1" x14ac:dyDescent="0.4">
      <c r="A77" s="6"/>
      <c r="B77" s="235" t="s">
        <v>55</v>
      </c>
      <c r="C77" s="243"/>
      <c r="D77" s="233">
        <f>IFERROR(($D$67-$D$69)*C77,"")</f>
        <v>0</v>
      </c>
      <c r="E77" s="6"/>
      <c r="F77" s="7"/>
      <c r="G77" s="7"/>
      <c r="H77" s="7"/>
      <c r="I77" s="7"/>
      <c r="J77" s="5"/>
      <c r="K77" s="5"/>
      <c r="L77" s="5"/>
    </row>
    <row r="78" spans="1:12" ht="15" customHeight="1" x14ac:dyDescent="0.4">
      <c r="A78" s="6"/>
      <c r="B78" s="236"/>
      <c r="C78" s="244"/>
      <c r="D78" s="234"/>
      <c r="E78" s="6"/>
      <c r="F78" s="7"/>
      <c r="G78" s="7"/>
      <c r="H78" s="7"/>
      <c r="I78" s="7"/>
      <c r="J78" s="5"/>
      <c r="K78" s="5"/>
      <c r="L78" s="5"/>
    </row>
    <row r="79" spans="1:12" ht="15" customHeight="1" x14ac:dyDescent="0.4">
      <c r="A79" s="6"/>
      <c r="B79" s="235" t="s">
        <v>39</v>
      </c>
      <c r="C79" s="243"/>
      <c r="D79" s="233">
        <f>IFERROR(($D$67-$D$69)*C79,"")</f>
        <v>0</v>
      </c>
      <c r="E79" s="6"/>
      <c r="F79" s="7"/>
      <c r="G79" s="7"/>
      <c r="H79" s="7"/>
      <c r="I79" s="7"/>
      <c r="J79" s="5"/>
      <c r="K79" s="5"/>
      <c r="L79" s="5"/>
    </row>
    <row r="80" spans="1:12" ht="15" customHeight="1" x14ac:dyDescent="0.4">
      <c r="A80" s="6"/>
      <c r="B80" s="236"/>
      <c r="C80" s="244"/>
      <c r="D80" s="234"/>
      <c r="E80" s="6"/>
      <c r="F80" s="7"/>
      <c r="G80" s="7"/>
      <c r="H80" s="7"/>
      <c r="I80" s="7"/>
      <c r="J80" s="5"/>
      <c r="K80" s="5"/>
      <c r="L80" s="5"/>
    </row>
    <row r="81" spans="1:35" ht="15" customHeight="1" x14ac:dyDescent="0.4">
      <c r="A81" s="6"/>
      <c r="B81" s="235" t="s">
        <v>40</v>
      </c>
      <c r="C81" s="271">
        <f>IFERROR(D81/I54,)</f>
        <v>0.21868000000000001</v>
      </c>
      <c r="D81" s="262">
        <f>IFERROR(D67-D69-D71-D73-D75-D77-D79,"")</f>
        <v>2126.0555555555557</v>
      </c>
      <c r="E81" s="6"/>
      <c r="F81" s="7"/>
      <c r="G81" s="7"/>
      <c r="H81" s="7"/>
      <c r="I81" s="7"/>
      <c r="J81" s="5"/>
      <c r="K81" s="5"/>
      <c r="L81" s="5"/>
    </row>
    <row r="82" spans="1:35" ht="15" customHeight="1" x14ac:dyDescent="0.4">
      <c r="A82" s="6"/>
      <c r="B82" s="236"/>
      <c r="C82" s="272"/>
      <c r="D82" s="263"/>
      <c r="E82" s="6"/>
      <c r="F82" s="7"/>
      <c r="G82" s="7"/>
      <c r="H82" s="7"/>
      <c r="I82" s="7"/>
      <c r="J82" s="5"/>
      <c r="K82" s="5"/>
      <c r="L82" s="5"/>
    </row>
    <row r="83" spans="1:35" ht="15" customHeight="1" x14ac:dyDescent="0.4">
      <c r="A83" s="6"/>
      <c r="B83" s="6"/>
      <c r="C83" s="6"/>
      <c r="D83" s="7"/>
      <c r="E83" s="6"/>
      <c r="F83" s="7"/>
      <c r="G83" s="7"/>
      <c r="H83" s="7"/>
      <c r="I83" s="7"/>
      <c r="J83" s="5"/>
      <c r="K83" s="5"/>
      <c r="L83" s="5"/>
    </row>
    <row r="84" spans="1:35" ht="15" customHeight="1" thickBot="1" x14ac:dyDescent="0.45">
      <c r="A84" s="6"/>
      <c r="B84" s="6"/>
      <c r="C84" s="6"/>
      <c r="D84" s="7"/>
      <c r="E84" s="6"/>
      <c r="F84" s="7"/>
      <c r="G84" s="7"/>
      <c r="H84" s="7"/>
      <c r="I84" s="7"/>
      <c r="J84" s="5"/>
      <c r="K84" s="5"/>
      <c r="L84" s="5"/>
    </row>
    <row r="85" spans="1:35" ht="41.25" customHeight="1" thickTop="1" thickBot="1" x14ac:dyDescent="0.35">
      <c r="A85" s="252" t="s">
        <v>56</v>
      </c>
      <c r="B85" s="252"/>
      <c r="C85" s="252"/>
      <c r="D85" s="252"/>
      <c r="E85" s="252"/>
      <c r="F85" s="252"/>
      <c r="G85" s="252"/>
      <c r="H85" s="252"/>
      <c r="I85" s="252"/>
      <c r="J85" s="252"/>
      <c r="K85" s="252"/>
      <c r="L85" s="86"/>
    </row>
    <row r="86" spans="1:35" ht="37.5" customHeight="1" thickTop="1" x14ac:dyDescent="0.3">
      <c r="A86" s="273" t="s">
        <v>57</v>
      </c>
      <c r="B86" s="273"/>
      <c r="C86" s="274"/>
      <c r="D86" s="126" t="s">
        <v>58</v>
      </c>
      <c r="E86" s="126" t="s">
        <v>59</v>
      </c>
      <c r="F86" s="126" t="s">
        <v>60</v>
      </c>
      <c r="G86" s="62" t="s">
        <v>61</v>
      </c>
      <c r="H86" s="179" t="s">
        <v>62</v>
      </c>
      <c r="I86" s="180" t="s">
        <v>63</v>
      </c>
      <c r="J86" s="181" t="s">
        <v>64</v>
      </c>
      <c r="K86" s="32"/>
      <c r="L86" s="32"/>
    </row>
    <row r="87" spans="1:35" ht="15.75" customHeight="1" x14ac:dyDescent="0.3">
      <c r="A87" s="231" t="s">
        <v>65</v>
      </c>
      <c r="B87" s="231"/>
      <c r="C87" s="232"/>
      <c r="D87" s="182" t="s">
        <v>66</v>
      </c>
      <c r="E87" s="182">
        <v>0</v>
      </c>
      <c r="F87" s="191"/>
      <c r="G87" s="185">
        <f>IFERROR(IF(D87="",0,(E87*AI87)),"")</f>
        <v>0</v>
      </c>
      <c r="H87" s="191">
        <v>1000</v>
      </c>
      <c r="I87" s="187" t="str">
        <f>IFERROR(J87/(F87+G87),"")</f>
        <v/>
      </c>
      <c r="J87" s="188">
        <f>IF(H87&lt;&gt;"",IFERROR(H87*E87,""),"")</f>
        <v>0</v>
      </c>
      <c r="K87" s="32"/>
      <c r="L87" s="32"/>
      <c r="AI87" s="24">
        <f>IFERROR(HLOOKUP(D87,Dados!$K$98:$O$99,2,FALSE),"")</f>
        <v>56.81818181818182</v>
      </c>
    </row>
    <row r="88" spans="1:35" ht="18" x14ac:dyDescent="0.3">
      <c r="A88" s="266"/>
      <c r="B88" s="266"/>
      <c r="C88" s="267"/>
      <c r="D88" s="192"/>
      <c r="E88" s="183"/>
      <c r="F88" s="193"/>
      <c r="G88" s="186">
        <f>IFERROR(IF(D88="",0,(E88*AI88)),"")</f>
        <v>0</v>
      </c>
      <c r="H88" s="194"/>
      <c r="I88" s="189" t="str">
        <f t="shared" ref="I88:I101" si="9">IFERROR(J88/(F88+G88),"")</f>
        <v/>
      </c>
      <c r="J88" s="190" t="str">
        <f t="shared" ref="J88:J101" si="10">IF(H88&lt;&gt;"",IFERROR(H88*E88,""),"")</f>
        <v/>
      </c>
      <c r="K88" s="32"/>
      <c r="L88" s="32"/>
      <c r="AI88" s="24" t="str">
        <f>IFERROR(HLOOKUP(D88,Dados!$K$98:$O$99,2,FALSE),"")</f>
        <v/>
      </c>
    </row>
    <row r="89" spans="1:35" ht="18" x14ac:dyDescent="0.3">
      <c r="A89" s="231"/>
      <c r="B89" s="231"/>
      <c r="C89" s="232"/>
      <c r="D89" s="182"/>
      <c r="E89" s="184"/>
      <c r="F89" s="191"/>
      <c r="G89" s="185">
        <f>IFERROR(IF(D89="",0,(E89*AI89)),"")</f>
        <v>0</v>
      </c>
      <c r="H89" s="191"/>
      <c r="I89" s="187" t="str">
        <f t="shared" si="9"/>
        <v/>
      </c>
      <c r="J89" s="188" t="str">
        <f t="shared" si="10"/>
        <v/>
      </c>
      <c r="K89" s="32"/>
      <c r="L89" s="32"/>
      <c r="AI89" s="24" t="str">
        <f>IFERROR(HLOOKUP(D89,Dados!$K$98:$O$99,2,FALSE),"")</f>
        <v/>
      </c>
    </row>
    <row r="90" spans="1:35" ht="18" x14ac:dyDescent="0.3">
      <c r="A90" s="266"/>
      <c r="B90" s="266"/>
      <c r="C90" s="267"/>
      <c r="D90" s="192"/>
      <c r="E90" s="183"/>
      <c r="F90" s="193"/>
      <c r="G90" s="186">
        <f t="shared" ref="G90:G101" si="11">IFERROR(IF(D90="",0,(E90*AI90)),"")</f>
        <v>0</v>
      </c>
      <c r="H90" s="194"/>
      <c r="I90" s="189" t="str">
        <f t="shared" si="9"/>
        <v/>
      </c>
      <c r="J90" s="190" t="str">
        <f t="shared" si="10"/>
        <v/>
      </c>
      <c r="K90" s="32"/>
      <c r="L90" s="32"/>
      <c r="AI90" s="24" t="str">
        <f>IFERROR(HLOOKUP(D90,Dados!$K$98:$O$99,2,FALSE),"")</f>
        <v/>
      </c>
    </row>
    <row r="91" spans="1:35" ht="18" x14ac:dyDescent="0.3">
      <c r="A91" s="231"/>
      <c r="B91" s="231"/>
      <c r="C91" s="232"/>
      <c r="D91" s="182"/>
      <c r="E91" s="184"/>
      <c r="F91" s="191"/>
      <c r="G91" s="185">
        <f t="shared" si="11"/>
        <v>0</v>
      </c>
      <c r="H91" s="191"/>
      <c r="I91" s="187" t="str">
        <f t="shared" si="9"/>
        <v/>
      </c>
      <c r="J91" s="188" t="str">
        <f t="shared" si="10"/>
        <v/>
      </c>
      <c r="K91" s="32"/>
      <c r="L91" s="32"/>
      <c r="AI91" s="24" t="str">
        <f>IFERROR(HLOOKUP(D91,Dados!$K$98:$O$99,2,FALSE),"")</f>
        <v/>
      </c>
    </row>
    <row r="92" spans="1:35" ht="18" x14ac:dyDescent="0.3">
      <c r="A92" s="266"/>
      <c r="B92" s="266"/>
      <c r="C92" s="267"/>
      <c r="D92" s="192"/>
      <c r="E92" s="183"/>
      <c r="F92" s="193"/>
      <c r="G92" s="186">
        <f t="shared" si="11"/>
        <v>0</v>
      </c>
      <c r="H92" s="194"/>
      <c r="I92" s="189" t="str">
        <f t="shared" si="9"/>
        <v/>
      </c>
      <c r="J92" s="190" t="str">
        <f t="shared" si="10"/>
        <v/>
      </c>
      <c r="K92" s="32"/>
      <c r="L92" s="32"/>
      <c r="AI92" s="24" t="str">
        <f>IFERROR(HLOOKUP(D92,Dados!$K$98:$O$99,2,FALSE),"")</f>
        <v/>
      </c>
    </row>
    <row r="93" spans="1:35" ht="18" x14ac:dyDescent="0.3">
      <c r="A93" s="231"/>
      <c r="B93" s="231"/>
      <c r="C93" s="232"/>
      <c r="D93" s="182"/>
      <c r="E93" s="184"/>
      <c r="F93" s="191"/>
      <c r="G93" s="185">
        <f t="shared" si="11"/>
        <v>0</v>
      </c>
      <c r="H93" s="191"/>
      <c r="I93" s="187" t="str">
        <f t="shared" si="9"/>
        <v/>
      </c>
      <c r="J93" s="188" t="str">
        <f t="shared" si="10"/>
        <v/>
      </c>
      <c r="K93" s="32"/>
      <c r="L93" s="32"/>
      <c r="AI93" s="24" t="str">
        <f>IFERROR(HLOOKUP(D93,Dados!$K$98:$O$99,2,FALSE),"")</f>
        <v/>
      </c>
    </row>
    <row r="94" spans="1:35" ht="18" x14ac:dyDescent="0.3">
      <c r="A94" s="266"/>
      <c r="B94" s="266"/>
      <c r="C94" s="267"/>
      <c r="D94" s="192"/>
      <c r="E94" s="183"/>
      <c r="F94" s="193"/>
      <c r="G94" s="186">
        <f t="shared" si="11"/>
        <v>0</v>
      </c>
      <c r="H94" s="194"/>
      <c r="I94" s="189" t="str">
        <f t="shared" si="9"/>
        <v/>
      </c>
      <c r="J94" s="190" t="str">
        <f t="shared" si="10"/>
        <v/>
      </c>
      <c r="K94" s="32"/>
      <c r="L94" s="32"/>
      <c r="AI94" s="24" t="str">
        <f>IFERROR(HLOOKUP(D94,Dados!$K$98:$O$99,2,FALSE),"")</f>
        <v/>
      </c>
    </row>
    <row r="95" spans="1:35" ht="18" x14ac:dyDescent="0.3">
      <c r="A95" s="231"/>
      <c r="B95" s="231"/>
      <c r="C95" s="232"/>
      <c r="D95" s="182"/>
      <c r="E95" s="184"/>
      <c r="F95" s="191"/>
      <c r="G95" s="185">
        <f t="shared" si="11"/>
        <v>0</v>
      </c>
      <c r="H95" s="191"/>
      <c r="I95" s="187" t="str">
        <f t="shared" si="9"/>
        <v/>
      </c>
      <c r="J95" s="188" t="str">
        <f t="shared" si="10"/>
        <v/>
      </c>
      <c r="K95" s="32"/>
      <c r="L95" s="32"/>
      <c r="AI95" s="24" t="str">
        <f>IFERROR(HLOOKUP(D95,Dados!$K$98:$O$99,2,FALSE),"")</f>
        <v/>
      </c>
    </row>
    <row r="96" spans="1:35" ht="18" x14ac:dyDescent="0.3">
      <c r="A96" s="266"/>
      <c r="B96" s="266"/>
      <c r="C96" s="267"/>
      <c r="D96" s="192"/>
      <c r="E96" s="183"/>
      <c r="F96" s="193"/>
      <c r="G96" s="186">
        <f t="shared" si="11"/>
        <v>0</v>
      </c>
      <c r="H96" s="194"/>
      <c r="I96" s="189" t="str">
        <f t="shared" si="9"/>
        <v/>
      </c>
      <c r="J96" s="190" t="str">
        <f t="shared" si="10"/>
        <v/>
      </c>
      <c r="K96" s="32"/>
      <c r="L96" s="32"/>
      <c r="AI96" s="24" t="str">
        <f>IFERROR(HLOOKUP(D96,Dados!$K$98:$O$99,2,FALSE),"")</f>
        <v/>
      </c>
    </row>
    <row r="97" spans="1:35" ht="18" x14ac:dyDescent="0.3">
      <c r="A97" s="231"/>
      <c r="B97" s="231"/>
      <c r="C97" s="232"/>
      <c r="D97" s="182"/>
      <c r="E97" s="184"/>
      <c r="F97" s="191"/>
      <c r="G97" s="185">
        <f t="shared" si="11"/>
        <v>0</v>
      </c>
      <c r="H97" s="191"/>
      <c r="I97" s="187" t="str">
        <f t="shared" si="9"/>
        <v/>
      </c>
      <c r="J97" s="188" t="str">
        <f t="shared" si="10"/>
        <v/>
      </c>
      <c r="K97" s="32"/>
      <c r="L97" s="32"/>
      <c r="AI97" s="24" t="str">
        <f>IFERROR(HLOOKUP(D97,Dados!$K$98:$O$99,2,FALSE),"")</f>
        <v/>
      </c>
    </row>
    <row r="98" spans="1:35" ht="18" x14ac:dyDescent="0.3">
      <c r="A98" s="266"/>
      <c r="B98" s="266"/>
      <c r="C98" s="267"/>
      <c r="D98" s="192"/>
      <c r="E98" s="183"/>
      <c r="F98" s="193"/>
      <c r="G98" s="186">
        <f t="shared" si="11"/>
        <v>0</v>
      </c>
      <c r="H98" s="194"/>
      <c r="I98" s="189" t="str">
        <f t="shared" si="9"/>
        <v/>
      </c>
      <c r="J98" s="190" t="str">
        <f t="shared" si="10"/>
        <v/>
      </c>
      <c r="K98" s="32"/>
      <c r="L98" s="32"/>
      <c r="AI98" s="24" t="str">
        <f>IFERROR(HLOOKUP(D98,Dados!$K$98:$O$99,2,FALSE),"")</f>
        <v/>
      </c>
    </row>
    <row r="99" spans="1:35" ht="18" x14ac:dyDescent="0.3">
      <c r="A99" s="231"/>
      <c r="B99" s="231"/>
      <c r="C99" s="232"/>
      <c r="D99" s="182"/>
      <c r="E99" s="184"/>
      <c r="F99" s="191"/>
      <c r="G99" s="185">
        <f t="shared" si="11"/>
        <v>0</v>
      </c>
      <c r="H99" s="191"/>
      <c r="I99" s="187" t="str">
        <f t="shared" si="9"/>
        <v/>
      </c>
      <c r="J99" s="188" t="str">
        <f t="shared" si="10"/>
        <v/>
      </c>
      <c r="K99" s="32"/>
      <c r="L99" s="32"/>
      <c r="AI99" s="24" t="str">
        <f>IFERROR(HLOOKUP(D99,Dados!$K$98:$O$99,2,FALSE),"")</f>
        <v/>
      </c>
    </row>
    <row r="100" spans="1:35" ht="18" x14ac:dyDescent="0.3">
      <c r="A100" s="266"/>
      <c r="B100" s="266"/>
      <c r="C100" s="267"/>
      <c r="D100" s="192"/>
      <c r="E100" s="183"/>
      <c r="F100" s="193"/>
      <c r="G100" s="186">
        <f t="shared" si="11"/>
        <v>0</v>
      </c>
      <c r="H100" s="194"/>
      <c r="I100" s="189" t="str">
        <f t="shared" si="9"/>
        <v/>
      </c>
      <c r="J100" s="190" t="str">
        <f t="shared" si="10"/>
        <v/>
      </c>
      <c r="K100" s="32"/>
      <c r="L100" s="32"/>
      <c r="AI100" s="24" t="str">
        <f>IFERROR(HLOOKUP(D100,Dados!$K$98:$O$99,2,FALSE),"")</f>
        <v/>
      </c>
    </row>
    <row r="101" spans="1:35" ht="18" x14ac:dyDescent="0.3">
      <c r="A101" s="231"/>
      <c r="B101" s="231"/>
      <c r="C101" s="232"/>
      <c r="D101" s="182"/>
      <c r="E101" s="184"/>
      <c r="F101" s="191"/>
      <c r="G101" s="185">
        <f t="shared" si="11"/>
        <v>0</v>
      </c>
      <c r="H101" s="191"/>
      <c r="I101" s="187" t="str">
        <f t="shared" si="9"/>
        <v/>
      </c>
      <c r="J101" s="188" t="str">
        <f t="shared" si="10"/>
        <v/>
      </c>
      <c r="K101" s="32"/>
      <c r="L101" s="32"/>
      <c r="AI101" s="24" t="str">
        <f>IFERROR(HLOOKUP(D101,Dados!$K$98:$O$99,2,FALSE),"")</f>
        <v/>
      </c>
    </row>
    <row r="102" spans="1:35" ht="15" customHeight="1" x14ac:dyDescent="0.3">
      <c r="A102" s="333"/>
      <c r="B102" s="253"/>
      <c r="C102" s="254"/>
      <c r="D102" s="264">
        <f>IFERROR(SUM(D87:D101),"")</f>
        <v>0</v>
      </c>
      <c r="E102" s="279">
        <f>SUM(E87:E101)</f>
        <v>0</v>
      </c>
      <c r="F102" s="277">
        <f>SUM(F87:F101)</f>
        <v>0</v>
      </c>
      <c r="G102" s="275">
        <f>SUM(G87:G101)</f>
        <v>0</v>
      </c>
      <c r="H102" s="281">
        <f>IFERROR(AVERAGE(H87:H101),"")</f>
        <v>1000</v>
      </c>
      <c r="I102" s="283" t="str">
        <f>C124</f>
        <v/>
      </c>
      <c r="J102" s="277">
        <f>SUM(J87:J101)</f>
        <v>0</v>
      </c>
      <c r="K102" s="32"/>
      <c r="L102" s="32"/>
    </row>
    <row r="103" spans="1:35" ht="15" customHeight="1" x14ac:dyDescent="0.3">
      <c r="A103" s="334"/>
      <c r="B103" s="255"/>
      <c r="C103" s="256"/>
      <c r="D103" s="265"/>
      <c r="E103" s="280"/>
      <c r="F103" s="278"/>
      <c r="G103" s="276"/>
      <c r="H103" s="282"/>
      <c r="I103" s="284"/>
      <c r="J103" s="278"/>
      <c r="K103" s="32"/>
      <c r="L103" s="32"/>
    </row>
    <row r="104" spans="1:35" ht="15" thickBot="1" x14ac:dyDescent="0.3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35" ht="27" customHeight="1" thickTop="1" thickBot="1" x14ac:dyDescent="0.35">
      <c r="A105" s="230" t="s">
        <v>67</v>
      </c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87"/>
    </row>
    <row r="106" spans="1:35" ht="15" thickTop="1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</row>
    <row r="107" spans="1:35" ht="27" customHeight="1" x14ac:dyDescent="0.3">
      <c r="A107" s="6"/>
      <c r="B107" s="11" t="s">
        <v>30</v>
      </c>
      <c r="C107" s="12" t="s">
        <v>31</v>
      </c>
      <c r="D107" s="12" t="s">
        <v>68</v>
      </c>
      <c r="E107" s="6"/>
      <c r="F107" s="6"/>
      <c r="G107" s="6"/>
      <c r="H107" s="6"/>
      <c r="I107" s="6"/>
      <c r="J107" s="6"/>
      <c r="K107" s="6"/>
      <c r="L107" s="6"/>
    </row>
    <row r="108" spans="1:35" ht="15" customHeight="1" x14ac:dyDescent="0.3">
      <c r="A108" s="6"/>
      <c r="B108" s="242" t="s">
        <v>69</v>
      </c>
      <c r="C108" s="290"/>
      <c r="D108" s="246">
        <f>IFERROR(J102,"")</f>
        <v>0</v>
      </c>
      <c r="E108" s="6"/>
      <c r="F108" s="6"/>
      <c r="G108" s="6"/>
      <c r="H108" s="6"/>
      <c r="I108" s="6"/>
      <c r="J108" s="6"/>
      <c r="K108" s="6"/>
      <c r="L108" s="6"/>
    </row>
    <row r="109" spans="1:35" ht="15" customHeight="1" x14ac:dyDescent="0.3">
      <c r="A109" s="6"/>
      <c r="B109" s="242"/>
      <c r="C109" s="290"/>
      <c r="D109" s="246"/>
      <c r="E109" s="6"/>
      <c r="F109" s="6"/>
      <c r="G109" s="6"/>
      <c r="H109" s="6"/>
      <c r="I109" s="6"/>
      <c r="J109" s="6"/>
      <c r="K109" s="6"/>
      <c r="L109" s="6"/>
    </row>
    <row r="110" spans="1:35" ht="15" customHeight="1" x14ac:dyDescent="0.3">
      <c r="A110" s="6"/>
      <c r="B110" s="242" t="s">
        <v>34</v>
      </c>
      <c r="C110" s="243">
        <v>0.1125</v>
      </c>
      <c r="D110" s="247">
        <f>IFERROR(D108*C110,"")</f>
        <v>0</v>
      </c>
      <c r="E110" s="6"/>
      <c r="F110" s="6"/>
      <c r="G110" s="6"/>
      <c r="H110" s="6"/>
      <c r="I110" s="6"/>
      <c r="J110" s="6"/>
      <c r="K110" s="6"/>
      <c r="L110" s="6"/>
    </row>
    <row r="111" spans="1:35" ht="15" customHeight="1" x14ac:dyDescent="0.3">
      <c r="A111" s="6"/>
      <c r="B111" s="242"/>
      <c r="C111" s="244"/>
      <c r="D111" s="247"/>
      <c r="E111" s="6"/>
      <c r="F111" s="6"/>
      <c r="G111" s="6"/>
      <c r="H111" s="6"/>
      <c r="I111" s="6"/>
      <c r="J111" s="6"/>
      <c r="K111" s="6"/>
      <c r="L111" s="6"/>
    </row>
    <row r="112" spans="1:35" ht="15" customHeight="1" x14ac:dyDescent="0.3">
      <c r="A112" s="6"/>
      <c r="B112" s="235" t="s">
        <v>70</v>
      </c>
      <c r="C112" s="269" t="str">
        <f>IFERROR(D112/D108,"")</f>
        <v/>
      </c>
      <c r="D112" s="268">
        <f>IFERROR(F102,"")</f>
        <v>0</v>
      </c>
      <c r="E112" s="6"/>
      <c r="F112" s="6"/>
      <c r="G112" s="6"/>
      <c r="H112" s="6"/>
      <c r="I112" s="6"/>
      <c r="J112" s="6"/>
      <c r="K112" s="6"/>
      <c r="L112" s="6"/>
    </row>
    <row r="113" spans="1:12" ht="15" customHeight="1" x14ac:dyDescent="0.3">
      <c r="A113" s="6"/>
      <c r="B113" s="236"/>
      <c r="C113" s="270"/>
      <c r="D113" s="268"/>
      <c r="E113" s="6"/>
      <c r="F113" s="6"/>
      <c r="G113" s="6"/>
      <c r="H113" s="6"/>
      <c r="I113" s="6"/>
      <c r="J113" s="6"/>
      <c r="K113" s="6"/>
      <c r="L113" s="6"/>
    </row>
    <row r="114" spans="1:12" ht="15" customHeight="1" x14ac:dyDescent="0.3">
      <c r="A114" s="6"/>
      <c r="B114" s="235" t="s">
        <v>35</v>
      </c>
      <c r="C114" s="239">
        <v>0.13</v>
      </c>
      <c r="D114" s="233">
        <f>IFERROR(D108*C114,"")</f>
        <v>0</v>
      </c>
      <c r="E114" s="6"/>
      <c r="F114" s="6"/>
      <c r="G114" s="6"/>
      <c r="H114" s="6"/>
      <c r="I114" s="6"/>
      <c r="J114" s="6"/>
      <c r="K114" s="6"/>
      <c r="L114" s="6"/>
    </row>
    <row r="115" spans="1:12" ht="15" customHeight="1" x14ac:dyDescent="0.3">
      <c r="A115" s="6"/>
      <c r="B115" s="291"/>
      <c r="C115" s="240"/>
      <c r="D115" s="234"/>
      <c r="E115" s="6"/>
      <c r="F115" s="6"/>
      <c r="G115" s="6"/>
      <c r="H115" s="6"/>
      <c r="I115" s="6"/>
      <c r="J115" s="6"/>
      <c r="K115" s="6"/>
      <c r="L115" s="6"/>
    </row>
    <row r="116" spans="1:12" ht="15" customHeight="1" x14ac:dyDescent="0.3">
      <c r="A116" s="6"/>
      <c r="B116" s="235" t="s">
        <v>71</v>
      </c>
      <c r="C116" s="239" t="str">
        <f>IFERROR(D116/D108,"")</f>
        <v/>
      </c>
      <c r="D116" s="233">
        <f>IFERROR(G102,"")</f>
        <v>0</v>
      </c>
      <c r="E116" s="6"/>
      <c r="F116" s="6"/>
      <c r="G116" s="6"/>
      <c r="H116" s="6"/>
      <c r="I116" s="6"/>
      <c r="J116" s="6"/>
      <c r="K116" s="6"/>
      <c r="L116" s="6"/>
    </row>
    <row r="117" spans="1:12" ht="15" customHeight="1" x14ac:dyDescent="0.3">
      <c r="A117" s="6"/>
      <c r="B117" s="236"/>
      <c r="C117" s="240"/>
      <c r="D117" s="234"/>
      <c r="E117" s="6"/>
      <c r="F117" s="6"/>
      <c r="G117" s="6"/>
      <c r="H117" s="6"/>
      <c r="I117" s="6"/>
      <c r="J117" s="6"/>
      <c r="K117" s="6"/>
      <c r="L117" s="6"/>
    </row>
    <row r="118" spans="1:12" ht="15" customHeight="1" x14ac:dyDescent="0.3">
      <c r="A118" s="6"/>
      <c r="B118" s="235" t="s">
        <v>36</v>
      </c>
      <c r="C118" s="243">
        <v>0.08</v>
      </c>
      <c r="D118" s="233">
        <f>IFERROR(($D$108-$D$110)*C118,"")</f>
        <v>0</v>
      </c>
      <c r="E118" s="6"/>
      <c r="F118" s="6"/>
      <c r="G118" s="6"/>
      <c r="H118" s="6"/>
      <c r="I118" s="6"/>
      <c r="J118" s="6"/>
      <c r="K118" s="6"/>
      <c r="L118" s="6"/>
    </row>
    <row r="119" spans="1:12" ht="15" customHeight="1" x14ac:dyDescent="0.3">
      <c r="A119" s="6"/>
      <c r="B119" s="236"/>
      <c r="C119" s="244"/>
      <c r="D119" s="234"/>
      <c r="E119" s="6"/>
      <c r="F119" s="6"/>
      <c r="G119" s="6"/>
      <c r="H119" s="6"/>
      <c r="I119" s="6"/>
      <c r="J119" s="6"/>
      <c r="K119" s="6"/>
      <c r="L119" s="6"/>
    </row>
    <row r="120" spans="1:12" ht="15" customHeight="1" x14ac:dyDescent="0.3">
      <c r="A120" s="6"/>
      <c r="B120" s="235" t="s">
        <v>37</v>
      </c>
      <c r="C120" s="243">
        <v>0.04</v>
      </c>
      <c r="D120" s="233">
        <f>IFERROR(($D$108-$D$110)*C120,"")</f>
        <v>0</v>
      </c>
      <c r="E120" s="6"/>
      <c r="F120" s="6"/>
      <c r="G120" s="6"/>
      <c r="H120" s="6"/>
      <c r="I120" s="6"/>
      <c r="J120" s="6"/>
      <c r="K120" s="6"/>
      <c r="L120" s="6"/>
    </row>
    <row r="121" spans="1:12" ht="15" customHeight="1" x14ac:dyDescent="0.3">
      <c r="A121" s="6"/>
      <c r="B121" s="236"/>
      <c r="C121" s="244"/>
      <c r="D121" s="234"/>
      <c r="E121" s="6"/>
      <c r="F121" s="6"/>
      <c r="G121" s="6"/>
      <c r="H121" s="6"/>
      <c r="I121" s="6"/>
      <c r="J121" s="6"/>
      <c r="K121" s="6"/>
      <c r="L121" s="6"/>
    </row>
    <row r="122" spans="1:12" ht="15" customHeight="1" x14ac:dyDescent="0.3">
      <c r="A122" s="6"/>
      <c r="B122" s="235" t="s">
        <v>55</v>
      </c>
      <c r="C122" s="243">
        <v>0.01</v>
      </c>
      <c r="D122" s="233">
        <f>IFERROR(($D$108-$D$110)*C122,"")</f>
        <v>0</v>
      </c>
      <c r="E122" s="6"/>
      <c r="F122" s="6"/>
      <c r="G122" s="6"/>
      <c r="H122" s="6"/>
      <c r="I122" s="6"/>
      <c r="J122" s="6"/>
      <c r="K122" s="6"/>
      <c r="L122" s="6"/>
    </row>
    <row r="123" spans="1:12" ht="15" customHeight="1" x14ac:dyDescent="0.3">
      <c r="A123" s="6"/>
      <c r="B123" s="236"/>
      <c r="C123" s="244"/>
      <c r="D123" s="234"/>
      <c r="E123" s="6"/>
      <c r="F123" s="6"/>
      <c r="G123" s="6"/>
      <c r="H123" s="6"/>
      <c r="I123" s="6"/>
      <c r="J123" s="6"/>
      <c r="K123" s="6"/>
      <c r="L123" s="6"/>
    </row>
    <row r="124" spans="1:12" ht="15" customHeight="1" x14ac:dyDescent="0.3">
      <c r="A124" s="6"/>
      <c r="B124" s="235" t="s">
        <v>72</v>
      </c>
      <c r="C124" s="330" t="str">
        <f>IFERROR(D124/J102,"")</f>
        <v/>
      </c>
      <c r="D124" s="262">
        <f>IFERROR(D108-D110-D112-D114-D116-D118-D120-D122,"")</f>
        <v>0</v>
      </c>
      <c r="E124" s="6"/>
      <c r="F124" s="6"/>
      <c r="G124" s="6"/>
      <c r="H124" s="6"/>
      <c r="I124" s="6"/>
      <c r="J124" s="6"/>
      <c r="K124" s="6"/>
      <c r="L124" s="6"/>
    </row>
    <row r="125" spans="1:12" ht="15" customHeight="1" x14ac:dyDescent="0.3">
      <c r="A125" s="6"/>
      <c r="B125" s="236"/>
      <c r="C125" s="331"/>
      <c r="D125" s="263"/>
      <c r="E125" s="6"/>
      <c r="F125" s="6"/>
      <c r="G125" s="6"/>
      <c r="H125" s="6"/>
      <c r="I125" s="6"/>
      <c r="J125" s="6"/>
      <c r="K125" s="6"/>
      <c r="L125" s="6"/>
    </row>
    <row r="126" spans="1:12" ht="15.75" customHeight="1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</row>
    <row r="127" spans="1:12" ht="15.75" customHeight="1" thickBot="1" x14ac:dyDescent="0.35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</row>
    <row r="128" spans="1:12" ht="43.5" customHeight="1" thickTop="1" thickBot="1" x14ac:dyDescent="0.35">
      <c r="A128" s="252" t="s">
        <v>73</v>
      </c>
      <c r="B128" s="252"/>
      <c r="C128" s="252"/>
      <c r="D128" s="252"/>
      <c r="E128" s="252"/>
      <c r="F128" s="252"/>
      <c r="G128" s="252"/>
      <c r="H128" s="252"/>
      <c r="I128" s="252"/>
      <c r="J128" s="252"/>
      <c r="K128" s="252"/>
      <c r="L128" s="86"/>
    </row>
    <row r="129" spans="1:12" ht="23.25" customHeight="1" thickTop="1" thickBot="1" x14ac:dyDescent="0.35">
      <c r="A129" s="33"/>
      <c r="B129" s="34"/>
      <c r="C129" s="34"/>
      <c r="D129" s="34"/>
      <c r="E129" s="33"/>
      <c r="F129" s="33"/>
      <c r="G129" s="34"/>
      <c r="H129" s="34"/>
      <c r="I129" s="33"/>
      <c r="J129" s="33"/>
      <c r="K129" s="32"/>
      <c r="L129" s="32"/>
    </row>
    <row r="130" spans="1:12" ht="38.25" customHeight="1" thickBot="1" x14ac:dyDescent="0.35">
      <c r="A130" s="133" t="s">
        <v>74</v>
      </c>
      <c r="B130" s="134" t="s">
        <v>75</v>
      </c>
      <c r="C130" s="134" t="s">
        <v>76</v>
      </c>
      <c r="D130" s="134" t="s">
        <v>77</v>
      </c>
      <c r="E130" s="135" t="s">
        <v>78</v>
      </c>
      <c r="F130" s="63" t="s">
        <v>79</v>
      </c>
      <c r="G130" s="64" t="s">
        <v>80</v>
      </c>
      <c r="H130" s="64" t="s">
        <v>81</v>
      </c>
      <c r="I130" s="135" t="s">
        <v>82</v>
      </c>
      <c r="J130" s="135" t="s">
        <v>83</v>
      </c>
      <c r="K130" s="63" t="s">
        <v>84</v>
      </c>
      <c r="L130" s="32"/>
    </row>
    <row r="131" spans="1:12" ht="25.35" customHeight="1" x14ac:dyDescent="0.3">
      <c r="A131" s="142"/>
      <c r="B131" s="136"/>
      <c r="C131" s="136"/>
      <c r="D131" s="140" t="str">
        <f>IFERROR(VLOOKUP(A131,[1]Dados!$D$88:$Q$90,VLOOKUP(B131,[1]Dados!$W$88:$Y$90,3,FALSE),FALSE),"")</f>
        <v/>
      </c>
      <c r="E131" s="140">
        <f t="shared" ref="E131:E140" si="12">IFERROR(C131*D131,0)</f>
        <v>0</v>
      </c>
      <c r="F131" s="137"/>
      <c r="G131" s="149" t="str">
        <f>IFERROR((F131/C131),"")</f>
        <v/>
      </c>
      <c r="H131" s="150" t="str">
        <f>IFERROR(((G131-D131)/D131),"")</f>
        <v/>
      </c>
      <c r="I131" s="138"/>
      <c r="J131" s="139"/>
      <c r="K131" s="140">
        <f t="shared" ref="K131:K140" si="13">J131*F131</f>
        <v>0</v>
      </c>
      <c r="L131" s="32"/>
    </row>
    <row r="132" spans="1:12" ht="25.35" customHeight="1" x14ac:dyDescent="0.3">
      <c r="A132" s="145"/>
      <c r="B132" s="146"/>
      <c r="C132" s="146"/>
      <c r="D132" s="163" t="str">
        <f>IFERROR(VLOOKUP(A132,[1]Dados!$D$88:$Q$90,VLOOKUP(B132,[1]Dados!$W$88:$Y$90,3,FALSE),FALSE),"")</f>
        <v/>
      </c>
      <c r="E132" s="163">
        <f t="shared" si="12"/>
        <v>0</v>
      </c>
      <c r="F132" s="157"/>
      <c r="G132" s="163" t="str">
        <f t="shared" ref="G132:G140" si="14">IFERROR((F132/C132),"")</f>
        <v/>
      </c>
      <c r="H132" s="164" t="str">
        <f t="shared" ref="H132:H140" si="15">IFERROR(((G132-D132)/D132),"")</f>
        <v/>
      </c>
      <c r="I132" s="159"/>
      <c r="J132" s="160"/>
      <c r="K132" s="163">
        <f t="shared" si="13"/>
        <v>0</v>
      </c>
      <c r="L132" s="32"/>
    </row>
    <row r="133" spans="1:12" ht="25.35" customHeight="1" x14ac:dyDescent="0.3">
      <c r="A133" s="143"/>
      <c r="B133" s="144"/>
      <c r="C133" s="144"/>
      <c r="D133" s="151" t="str">
        <f>IFERROR(VLOOKUP(A133,[1]Dados!$D$88:$Q$90,VLOOKUP(B133,[1]Dados!$W$88:$Y$90,3,FALSE),FALSE),"")</f>
        <v/>
      </c>
      <c r="E133" s="151">
        <f t="shared" si="12"/>
        <v>0</v>
      </c>
      <c r="F133" s="152"/>
      <c r="G133" s="153" t="str">
        <f t="shared" si="14"/>
        <v/>
      </c>
      <c r="H133" s="154" t="str">
        <f t="shared" si="15"/>
        <v/>
      </c>
      <c r="I133" s="155"/>
      <c r="J133" s="156"/>
      <c r="K133" s="151">
        <f t="shared" si="13"/>
        <v>0</v>
      </c>
      <c r="L133" s="32"/>
    </row>
    <row r="134" spans="1:12" ht="25.35" customHeight="1" x14ac:dyDescent="0.3">
      <c r="A134" s="145"/>
      <c r="B134" s="146"/>
      <c r="C134" s="146"/>
      <c r="D134" s="163" t="str">
        <f>IFERROR(VLOOKUP(A134,[1]Dados!$D$88:$Q$90,VLOOKUP(B134,[1]Dados!$W$88:$Y$90,3,FALSE),FALSE),"")</f>
        <v/>
      </c>
      <c r="E134" s="163">
        <f t="shared" si="12"/>
        <v>0</v>
      </c>
      <c r="F134" s="157"/>
      <c r="G134" s="163" t="str">
        <f t="shared" si="14"/>
        <v/>
      </c>
      <c r="H134" s="164" t="str">
        <f t="shared" si="15"/>
        <v/>
      </c>
      <c r="I134" s="159"/>
      <c r="J134" s="160"/>
      <c r="K134" s="163">
        <f t="shared" si="13"/>
        <v>0</v>
      </c>
      <c r="L134" s="32"/>
    </row>
    <row r="135" spans="1:12" ht="25.35" customHeight="1" x14ac:dyDescent="0.3">
      <c r="A135" s="143"/>
      <c r="B135" s="144"/>
      <c r="C135" s="144"/>
      <c r="D135" s="151" t="str">
        <f>IFERROR(VLOOKUP(A135,[1]Dados!$D$88:$Q$90,VLOOKUP(B135,[1]Dados!$W$88:$Y$90,3,FALSE),FALSE),"")</f>
        <v/>
      </c>
      <c r="E135" s="151">
        <f t="shared" si="12"/>
        <v>0</v>
      </c>
      <c r="F135" s="152"/>
      <c r="G135" s="153" t="str">
        <f t="shared" si="14"/>
        <v/>
      </c>
      <c r="H135" s="154" t="str">
        <f t="shared" si="15"/>
        <v/>
      </c>
      <c r="I135" s="155"/>
      <c r="J135" s="156"/>
      <c r="K135" s="151">
        <f t="shared" si="13"/>
        <v>0</v>
      </c>
      <c r="L135" s="32"/>
    </row>
    <row r="136" spans="1:12" ht="25.35" customHeight="1" x14ac:dyDescent="0.3">
      <c r="A136" s="145"/>
      <c r="B136" s="146"/>
      <c r="C136" s="146"/>
      <c r="D136" s="163" t="str">
        <f>IFERROR(VLOOKUP(A136,[1]Dados!$D$88:$Q$90,VLOOKUP(B136,[1]Dados!$W$88:$Y$90,3,FALSE),FALSE),"")</f>
        <v/>
      </c>
      <c r="E136" s="163">
        <f t="shared" si="12"/>
        <v>0</v>
      </c>
      <c r="F136" s="157"/>
      <c r="G136" s="163" t="str">
        <f t="shared" si="14"/>
        <v/>
      </c>
      <c r="H136" s="164" t="str">
        <f t="shared" si="15"/>
        <v/>
      </c>
      <c r="I136" s="159"/>
      <c r="J136" s="160"/>
      <c r="K136" s="163">
        <f t="shared" si="13"/>
        <v>0</v>
      </c>
      <c r="L136" s="32"/>
    </row>
    <row r="137" spans="1:12" ht="25.35" customHeight="1" x14ac:dyDescent="0.3">
      <c r="A137" s="143"/>
      <c r="B137" s="144"/>
      <c r="C137" s="144"/>
      <c r="D137" s="151" t="str">
        <f>IFERROR(VLOOKUP(A137,[1]Dados!$D$88:$Q$90,VLOOKUP(B137,[1]Dados!$W$88:$Y$90,3,FALSE),FALSE),"")</f>
        <v/>
      </c>
      <c r="E137" s="151">
        <f t="shared" si="12"/>
        <v>0</v>
      </c>
      <c r="F137" s="152"/>
      <c r="G137" s="153" t="str">
        <f t="shared" si="14"/>
        <v/>
      </c>
      <c r="H137" s="154" t="str">
        <f t="shared" si="15"/>
        <v/>
      </c>
      <c r="I137" s="155"/>
      <c r="J137" s="156"/>
      <c r="K137" s="151">
        <f t="shared" si="13"/>
        <v>0</v>
      </c>
      <c r="L137" s="32"/>
    </row>
    <row r="138" spans="1:12" ht="25.35" customHeight="1" x14ac:dyDescent="0.3">
      <c r="A138" s="145"/>
      <c r="B138" s="146"/>
      <c r="C138" s="146"/>
      <c r="D138" s="163" t="str">
        <f>IFERROR(VLOOKUP(A138,[1]Dados!$D$88:$Q$90,VLOOKUP(B138,[1]Dados!$W$88:$Y$90,3,FALSE),FALSE),"")</f>
        <v/>
      </c>
      <c r="E138" s="163">
        <f t="shared" si="12"/>
        <v>0</v>
      </c>
      <c r="F138" s="157"/>
      <c r="G138" s="163" t="str">
        <f t="shared" si="14"/>
        <v/>
      </c>
      <c r="H138" s="164" t="str">
        <f t="shared" si="15"/>
        <v/>
      </c>
      <c r="I138" s="159"/>
      <c r="J138" s="160"/>
      <c r="K138" s="163">
        <f t="shared" si="13"/>
        <v>0</v>
      </c>
      <c r="L138" s="32"/>
    </row>
    <row r="139" spans="1:12" ht="25.35" customHeight="1" x14ac:dyDescent="0.3">
      <c r="A139" s="143"/>
      <c r="B139" s="144"/>
      <c r="C139" s="144"/>
      <c r="D139" s="151" t="str">
        <f>IFERROR(VLOOKUP(A139,[1]Dados!$D$88:$Q$90,VLOOKUP(B139,[1]Dados!$W$88:$Y$90,3,FALSE),FALSE),"")</f>
        <v/>
      </c>
      <c r="E139" s="151">
        <f t="shared" si="12"/>
        <v>0</v>
      </c>
      <c r="F139" s="152"/>
      <c r="G139" s="153" t="str">
        <f t="shared" si="14"/>
        <v/>
      </c>
      <c r="H139" s="154" t="str">
        <f t="shared" si="15"/>
        <v/>
      </c>
      <c r="I139" s="155"/>
      <c r="J139" s="156"/>
      <c r="K139" s="151">
        <f t="shared" si="13"/>
        <v>0</v>
      </c>
      <c r="L139" s="32"/>
    </row>
    <row r="140" spans="1:12" ht="25.35" customHeight="1" thickBot="1" x14ac:dyDescent="0.35">
      <c r="A140" s="147"/>
      <c r="B140" s="148"/>
      <c r="C140" s="148"/>
      <c r="D140" s="165" t="str">
        <f>IFERROR(VLOOKUP(A140,[1]Dados!$D$88:$Q$90,VLOOKUP(B140,[1]Dados!$W$88:$Y$90,3,FALSE),FALSE),"")</f>
        <v/>
      </c>
      <c r="E140" s="165">
        <f t="shared" si="12"/>
        <v>0</v>
      </c>
      <c r="F140" s="158"/>
      <c r="G140" s="165" t="str">
        <f t="shared" si="14"/>
        <v/>
      </c>
      <c r="H140" s="166" t="str">
        <f t="shared" si="15"/>
        <v/>
      </c>
      <c r="I140" s="161"/>
      <c r="J140" s="162"/>
      <c r="K140" s="165">
        <f t="shared" si="13"/>
        <v>0</v>
      </c>
      <c r="L140" s="32"/>
    </row>
    <row r="141" spans="1:12" ht="38.25" customHeight="1" thickBot="1" x14ac:dyDescent="0.35">
      <c r="A141" s="167"/>
      <c r="B141" s="168"/>
      <c r="C141" s="169"/>
      <c r="D141" s="170" t="s">
        <v>45</v>
      </c>
      <c r="E141" s="171">
        <f>SUM(E131:E140)</f>
        <v>0</v>
      </c>
      <c r="F141" s="171">
        <f>SUM(F131:F140)</f>
        <v>0</v>
      </c>
      <c r="G141" s="172" t="s">
        <v>85</v>
      </c>
      <c r="H141" s="141" t="str">
        <f>C164</f>
        <v/>
      </c>
      <c r="I141" s="170">
        <f>I131*J131+I132*J132+I133*J133+I134*J134+I135*J135+I136*J136+I137*J137+I138*J138+I139*J139+I140*J140</f>
        <v>0</v>
      </c>
      <c r="J141" s="173"/>
      <c r="K141" s="171">
        <f>SUM(K131:K140)</f>
        <v>0</v>
      </c>
      <c r="L141" s="32"/>
    </row>
    <row r="142" spans="1:12" ht="15.75" customHeight="1" thickBot="1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2"/>
      <c r="K142" s="32"/>
      <c r="L142" s="32"/>
    </row>
    <row r="143" spans="1:12" ht="27" customHeight="1" thickTop="1" thickBot="1" x14ac:dyDescent="0.35">
      <c r="A143" s="230" t="s">
        <v>86</v>
      </c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87"/>
    </row>
    <row r="144" spans="1:12" ht="15.75" customHeight="1" thickTop="1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</row>
    <row r="145" spans="1:12" ht="35.1" customHeight="1" x14ac:dyDescent="0.3">
      <c r="A145" s="6"/>
      <c r="B145" s="35" t="s">
        <v>30</v>
      </c>
      <c r="C145" s="12" t="s">
        <v>31</v>
      </c>
      <c r="D145" s="72" t="s">
        <v>87</v>
      </c>
      <c r="E145" s="72" t="s">
        <v>84</v>
      </c>
      <c r="F145" s="6"/>
      <c r="G145" s="6"/>
      <c r="H145" s="6"/>
      <c r="I145" s="6"/>
      <c r="J145" s="6"/>
      <c r="K145" s="6"/>
      <c r="L145" s="6"/>
    </row>
    <row r="146" spans="1:12" ht="15" customHeight="1" x14ac:dyDescent="0.3">
      <c r="A146" s="6"/>
      <c r="B146" s="322" t="s">
        <v>69</v>
      </c>
      <c r="C146" s="328"/>
      <c r="D146" s="328">
        <f>F141</f>
        <v>0</v>
      </c>
      <c r="E146" s="328">
        <f>K141</f>
        <v>0</v>
      </c>
      <c r="F146" s="6"/>
      <c r="G146" s="6"/>
      <c r="H146" s="6"/>
      <c r="I146" s="6"/>
      <c r="J146" s="6"/>
      <c r="K146" s="6"/>
      <c r="L146" s="6"/>
    </row>
    <row r="147" spans="1:12" ht="15" customHeight="1" x14ac:dyDescent="0.3">
      <c r="A147" s="6"/>
      <c r="B147" s="323"/>
      <c r="C147" s="329"/>
      <c r="D147" s="329"/>
      <c r="E147" s="329"/>
      <c r="F147" s="6"/>
      <c r="G147" s="6"/>
      <c r="H147" s="6"/>
      <c r="I147" s="6"/>
      <c r="J147" s="6"/>
      <c r="K147" s="6"/>
      <c r="L147" s="6"/>
    </row>
    <row r="148" spans="1:12" ht="15" customHeight="1" x14ac:dyDescent="0.3">
      <c r="A148" s="6"/>
      <c r="B148" s="322" t="s">
        <v>34</v>
      </c>
      <c r="C148" s="243">
        <v>0.1125</v>
      </c>
      <c r="D148" s="233">
        <f>IFERROR(C148*D146,"")</f>
        <v>0</v>
      </c>
      <c r="E148" s="233">
        <f>IFERROR(C148*E146,"")</f>
        <v>0</v>
      </c>
      <c r="F148" s="6"/>
      <c r="G148" s="6"/>
      <c r="H148" s="6"/>
      <c r="I148" s="6"/>
      <c r="J148" s="6"/>
      <c r="K148" s="6"/>
      <c r="L148" s="6"/>
    </row>
    <row r="149" spans="1:12" ht="15" customHeight="1" x14ac:dyDescent="0.3">
      <c r="A149" s="6"/>
      <c r="B149" s="323"/>
      <c r="C149" s="244"/>
      <c r="D149" s="234"/>
      <c r="E149" s="234"/>
      <c r="F149" s="6"/>
      <c r="G149" s="6"/>
      <c r="H149" s="6"/>
      <c r="I149" s="6"/>
      <c r="J149" s="6"/>
      <c r="K149" s="6"/>
      <c r="L149" s="6"/>
    </row>
    <row r="150" spans="1:12" ht="15" customHeight="1" x14ac:dyDescent="0.3">
      <c r="A150" s="6"/>
      <c r="B150" s="235" t="s">
        <v>70</v>
      </c>
      <c r="C150" s="326" t="str">
        <f>IFERROR(E150/E146,"")</f>
        <v/>
      </c>
      <c r="D150" s="233">
        <f>SUM(I131:I140)</f>
        <v>0</v>
      </c>
      <c r="E150" s="233">
        <f>I141</f>
        <v>0</v>
      </c>
      <c r="F150" s="6"/>
      <c r="G150" s="6"/>
      <c r="H150" s="6"/>
      <c r="I150" s="6"/>
      <c r="J150" s="6"/>
      <c r="K150" s="6"/>
      <c r="L150" s="6"/>
    </row>
    <row r="151" spans="1:12" ht="15" customHeight="1" x14ac:dyDescent="0.3">
      <c r="A151" s="6"/>
      <c r="B151" s="236"/>
      <c r="C151" s="327"/>
      <c r="D151" s="234"/>
      <c r="E151" s="234"/>
      <c r="F151" s="6"/>
      <c r="G151" s="6"/>
      <c r="H151" s="6"/>
      <c r="I151" s="6"/>
      <c r="J151" s="6"/>
      <c r="K151" s="6"/>
      <c r="L151" s="6"/>
    </row>
    <row r="152" spans="1:12" ht="15" customHeight="1" x14ac:dyDescent="0.3">
      <c r="A152" s="6"/>
      <c r="B152" s="322" t="s">
        <v>35</v>
      </c>
      <c r="C152" s="269">
        <v>0.13</v>
      </c>
      <c r="D152" s="233">
        <f>IFERROR(C152*D146,"")</f>
        <v>0</v>
      </c>
      <c r="E152" s="233">
        <f>C152*E146</f>
        <v>0</v>
      </c>
      <c r="F152" s="6"/>
      <c r="G152" s="6"/>
      <c r="H152" s="6"/>
      <c r="I152" s="6"/>
      <c r="J152" s="6"/>
      <c r="K152" s="6"/>
      <c r="L152" s="6"/>
    </row>
    <row r="153" spans="1:12" ht="15" customHeight="1" x14ac:dyDescent="0.3">
      <c r="A153" s="6"/>
      <c r="B153" s="323"/>
      <c r="C153" s="270"/>
      <c r="D153" s="234"/>
      <c r="E153" s="234"/>
      <c r="F153" s="6"/>
      <c r="G153" s="6"/>
      <c r="H153" s="6"/>
      <c r="I153" s="6"/>
      <c r="J153" s="6"/>
      <c r="K153" s="6"/>
      <c r="L153" s="6"/>
    </row>
    <row r="154" spans="1:12" ht="15" customHeight="1" x14ac:dyDescent="0.3">
      <c r="A154" s="6"/>
      <c r="B154" s="322" t="s">
        <v>88</v>
      </c>
      <c r="C154" s="326" t="str">
        <f>IFERROR(E154/E146,"")</f>
        <v/>
      </c>
      <c r="D154" s="233">
        <f>E141</f>
        <v>0</v>
      </c>
      <c r="E154" s="233">
        <f>E131*J131+E132*J132+E133*J133+E134*J134+E135*J135+E136*J136+E137*J137+E138*J138+E139*J139+E140*J140</f>
        <v>0</v>
      </c>
      <c r="F154" s="6"/>
      <c r="G154" s="6"/>
      <c r="H154" s="6"/>
      <c r="I154" s="6"/>
      <c r="J154" s="6"/>
      <c r="K154" s="6"/>
      <c r="L154" s="6"/>
    </row>
    <row r="155" spans="1:12" ht="15" customHeight="1" x14ac:dyDescent="0.3">
      <c r="A155" s="6"/>
      <c r="B155" s="323"/>
      <c r="C155" s="327"/>
      <c r="D155" s="234"/>
      <c r="E155" s="234"/>
      <c r="F155" s="6"/>
      <c r="G155" s="6"/>
      <c r="H155" s="6"/>
      <c r="I155" s="6"/>
      <c r="J155" s="6"/>
      <c r="K155" s="6"/>
      <c r="L155" s="6"/>
    </row>
    <row r="156" spans="1:12" ht="15" customHeight="1" x14ac:dyDescent="0.3">
      <c r="A156" s="6"/>
      <c r="B156" s="322" t="s">
        <v>36</v>
      </c>
      <c r="C156" s="243">
        <v>0.08</v>
      </c>
      <c r="D156" s="233">
        <f>IFERROR(($D$146-$D$148)*C156,"")</f>
        <v>0</v>
      </c>
      <c r="E156" s="233">
        <f>IFERROR(($E$146-$E$148)*C156,"")</f>
        <v>0</v>
      </c>
      <c r="F156" s="6"/>
      <c r="G156" s="6"/>
      <c r="H156" s="6"/>
      <c r="I156" s="6"/>
      <c r="J156" s="6"/>
      <c r="K156" s="6"/>
      <c r="L156" s="6"/>
    </row>
    <row r="157" spans="1:12" ht="15" customHeight="1" x14ac:dyDescent="0.3">
      <c r="A157" s="6"/>
      <c r="B157" s="323"/>
      <c r="C157" s="244"/>
      <c r="D157" s="234"/>
      <c r="E157" s="234"/>
      <c r="F157" s="6"/>
      <c r="G157" s="6"/>
      <c r="H157" s="6"/>
      <c r="I157" s="6"/>
      <c r="J157" s="6"/>
      <c r="K157" s="6"/>
      <c r="L157" s="6"/>
    </row>
    <row r="158" spans="1:12" ht="15" customHeight="1" x14ac:dyDescent="0.3">
      <c r="A158" s="6"/>
      <c r="B158" s="322" t="s">
        <v>37</v>
      </c>
      <c r="C158" s="243">
        <v>0.04</v>
      </c>
      <c r="D158" s="233">
        <f>IFERROR(($D$146-$D$148)*C158,"")</f>
        <v>0</v>
      </c>
      <c r="E158" s="233">
        <f>IFERROR(($E$146-$E$148)*C158,"")</f>
        <v>0</v>
      </c>
      <c r="F158" s="6"/>
      <c r="G158" s="6"/>
      <c r="H158" s="6"/>
      <c r="I158" s="6"/>
      <c r="J158" s="6"/>
      <c r="K158" s="6"/>
      <c r="L158" s="6"/>
    </row>
    <row r="159" spans="1:12" ht="15" customHeight="1" x14ac:dyDescent="0.3">
      <c r="A159" s="6"/>
      <c r="B159" s="323"/>
      <c r="C159" s="244"/>
      <c r="D159" s="234"/>
      <c r="E159" s="234"/>
      <c r="F159" s="6"/>
      <c r="G159" s="6"/>
      <c r="H159" s="6"/>
      <c r="I159" s="6"/>
      <c r="J159" s="6"/>
      <c r="K159" s="6"/>
      <c r="L159" s="6"/>
    </row>
    <row r="160" spans="1:12" ht="15" customHeight="1" x14ac:dyDescent="0.3">
      <c r="A160" s="6"/>
      <c r="B160" s="235" t="s">
        <v>38</v>
      </c>
      <c r="C160" s="243">
        <v>5.0000000000000001E-3</v>
      </c>
      <c r="D160" s="233">
        <f>IFERROR(($D$146-$D$148)*C160,"")</f>
        <v>0</v>
      </c>
      <c r="E160" s="233">
        <f>IFERROR(($E$146-$E$148)*C160,"")</f>
        <v>0</v>
      </c>
      <c r="F160" s="6"/>
      <c r="G160" s="6"/>
      <c r="H160" s="6"/>
      <c r="I160" s="6"/>
      <c r="J160" s="6"/>
      <c r="K160" s="6"/>
      <c r="L160" s="6"/>
    </row>
    <row r="161" spans="1:12" ht="15" customHeight="1" x14ac:dyDescent="0.3">
      <c r="A161" s="6"/>
      <c r="B161" s="291"/>
      <c r="C161" s="244"/>
      <c r="D161" s="234"/>
      <c r="E161" s="234"/>
      <c r="F161" s="6"/>
      <c r="G161" s="6"/>
      <c r="H161" s="6"/>
      <c r="I161" s="6"/>
      <c r="J161" s="6"/>
      <c r="K161" s="6"/>
      <c r="L161" s="6"/>
    </row>
    <row r="162" spans="1:12" ht="15" customHeight="1" x14ac:dyDescent="0.3">
      <c r="A162" s="6"/>
      <c r="B162" s="322" t="s">
        <v>39</v>
      </c>
      <c r="C162" s="324"/>
      <c r="D162" s="233">
        <f>IFERROR(($D$146-$D$148)*C162,"")</f>
        <v>0</v>
      </c>
      <c r="E162" s="233">
        <f>IFERROR(($E$146-$E$148)*C162,"")</f>
        <v>0</v>
      </c>
      <c r="F162" s="6"/>
      <c r="G162" s="6"/>
      <c r="H162" s="6"/>
      <c r="I162" s="6"/>
      <c r="J162" s="6"/>
      <c r="K162" s="6"/>
      <c r="L162" s="6"/>
    </row>
    <row r="163" spans="1:12" ht="15" customHeight="1" x14ac:dyDescent="0.3">
      <c r="A163" s="6"/>
      <c r="B163" s="323"/>
      <c r="C163" s="325"/>
      <c r="D163" s="234"/>
      <c r="E163" s="234"/>
      <c r="F163" s="6"/>
      <c r="G163" s="6"/>
      <c r="H163" s="6"/>
      <c r="I163" s="6"/>
      <c r="J163" s="6"/>
      <c r="K163" s="6"/>
      <c r="L163" s="6"/>
    </row>
    <row r="164" spans="1:12" ht="15" customHeight="1" x14ac:dyDescent="0.3">
      <c r="A164" s="6"/>
      <c r="B164" s="322" t="s">
        <v>72</v>
      </c>
      <c r="C164" s="318" t="str">
        <f>IFERROR(E164/E146,"")</f>
        <v/>
      </c>
      <c r="D164" s="320">
        <f>IFERROR(D146-D148-D154-D156-D158-D160-D152-D150-D162,"")</f>
        <v>0</v>
      </c>
      <c r="E164" s="320">
        <f>IFERROR(E146-E148-E152-E154-E156-E158-E160-E162-E150,"")</f>
        <v>0</v>
      </c>
      <c r="F164" s="6"/>
      <c r="G164" s="6"/>
      <c r="H164" s="6"/>
      <c r="I164" s="6"/>
      <c r="J164" s="6"/>
      <c r="K164" s="6"/>
      <c r="L164" s="6"/>
    </row>
    <row r="165" spans="1:12" ht="15" customHeight="1" x14ac:dyDescent="0.3">
      <c r="A165" s="6"/>
      <c r="B165" s="323"/>
      <c r="C165" s="319"/>
      <c r="D165" s="321"/>
      <c r="E165" s="321"/>
      <c r="F165" s="6"/>
      <c r="G165" s="6"/>
      <c r="H165" s="6"/>
      <c r="I165" s="6"/>
      <c r="J165" s="6"/>
      <c r="K165" s="6"/>
      <c r="L165" s="6"/>
    </row>
    <row r="166" spans="1:12" ht="15.75" customHeight="1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1:12" ht="15.75" customHeight="1" x14ac:dyDescent="0.3">
      <c r="A167" s="6"/>
      <c r="B167" s="6"/>
      <c r="C167" s="6"/>
      <c r="D167" s="6"/>
      <c r="E167" s="6"/>
      <c r="F167" s="6"/>
      <c r="G167" s="6"/>
      <c r="H167" s="7"/>
      <c r="I167" s="6"/>
      <c r="J167" s="6"/>
      <c r="K167" s="6"/>
      <c r="L167" s="6"/>
    </row>
    <row r="168" spans="1:12" x14ac:dyDescent="0.3">
      <c r="A168" s="6"/>
      <c r="B168" s="6"/>
      <c r="C168" s="6"/>
      <c r="D168" s="6"/>
      <c r="E168" s="6"/>
      <c r="F168" s="6"/>
      <c r="G168" s="6"/>
      <c r="H168" s="7"/>
      <c r="I168" s="6"/>
      <c r="J168" s="6"/>
      <c r="K168" s="6"/>
      <c r="L168" s="6"/>
    </row>
    <row r="169" spans="1:12" ht="15.75" customHeight="1" x14ac:dyDescent="0.3">
      <c r="A169" s="332" t="s">
        <v>89</v>
      </c>
      <c r="B169" s="332"/>
      <c r="C169" s="332"/>
      <c r="D169" s="332"/>
      <c r="E169" s="332"/>
      <c r="F169" s="332"/>
      <c r="G169" s="332"/>
      <c r="H169" s="332"/>
      <c r="I169" s="332"/>
      <c r="J169" s="332"/>
      <c r="K169" s="332"/>
      <c r="L169" s="88"/>
    </row>
    <row r="170" spans="1:12" ht="24" customHeight="1" thickBot="1" x14ac:dyDescent="0.35">
      <c r="A170" s="332"/>
      <c r="B170" s="332"/>
      <c r="C170" s="332"/>
      <c r="D170" s="332"/>
      <c r="E170" s="332"/>
      <c r="F170" s="332"/>
      <c r="G170" s="332"/>
      <c r="H170" s="332"/>
      <c r="I170" s="332"/>
      <c r="J170" s="332"/>
      <c r="K170" s="332"/>
      <c r="L170" s="88"/>
    </row>
    <row r="171" spans="1:12" ht="35.1" customHeight="1" thickTop="1" thickBot="1" x14ac:dyDescent="0.35">
      <c r="A171" s="7"/>
      <c r="B171" s="7"/>
      <c r="C171" s="7"/>
      <c r="D171" s="7"/>
      <c r="E171" s="7"/>
      <c r="F171" s="7"/>
      <c r="G171" s="195" t="s">
        <v>45</v>
      </c>
      <c r="H171" s="195" t="s">
        <v>16</v>
      </c>
      <c r="I171" s="195" t="s">
        <v>90</v>
      </c>
      <c r="J171" s="196" t="s">
        <v>91</v>
      </c>
      <c r="K171" s="196" t="s">
        <v>92</v>
      </c>
      <c r="L171" s="7"/>
    </row>
    <row r="172" spans="1:12" ht="16.5" customHeight="1" thickTop="1" thickBot="1" x14ac:dyDescent="0.35">
      <c r="A172" s="7"/>
      <c r="B172" s="285" t="s">
        <v>93</v>
      </c>
      <c r="C172" s="288">
        <f>D41</f>
        <v>0</v>
      </c>
      <c r="D172" s="7"/>
      <c r="E172" s="286" t="s">
        <v>94</v>
      </c>
      <c r="F172" s="286"/>
      <c r="G172" s="288">
        <f>D33+D73+D118+E156</f>
        <v>144.95833333333334</v>
      </c>
      <c r="H172" s="229">
        <f>D33</f>
        <v>0</v>
      </c>
      <c r="I172" s="229">
        <f>D73</f>
        <v>144.95833333333334</v>
      </c>
      <c r="J172" s="229">
        <f>E156</f>
        <v>0</v>
      </c>
      <c r="K172" s="229">
        <f>D118</f>
        <v>0</v>
      </c>
      <c r="L172" s="7"/>
    </row>
    <row r="173" spans="1:12" ht="16.5" customHeight="1" thickTop="1" thickBot="1" x14ac:dyDescent="0.35">
      <c r="A173" s="7"/>
      <c r="B173" s="285"/>
      <c r="C173" s="289"/>
      <c r="D173" s="7"/>
      <c r="E173" s="287"/>
      <c r="F173" s="287"/>
      <c r="G173" s="289"/>
      <c r="H173" s="229"/>
      <c r="I173" s="229"/>
      <c r="J173" s="229"/>
      <c r="K173" s="229"/>
      <c r="L173" s="7"/>
    </row>
    <row r="174" spans="1:12" ht="16.5" customHeight="1" thickTop="1" thickBot="1" x14ac:dyDescent="0.35">
      <c r="A174" s="7"/>
      <c r="B174" s="285" t="s">
        <v>95</v>
      </c>
      <c r="C174" s="288">
        <f>D81</f>
        <v>2126.0555555555557</v>
      </c>
      <c r="D174" s="7"/>
      <c r="E174" s="286" t="s">
        <v>96</v>
      </c>
      <c r="F174" s="286"/>
      <c r="G174" s="288">
        <f t="shared" ref="G174" si="16">D35+D75+D120+E158</f>
        <v>144.95833333333334</v>
      </c>
      <c r="H174" s="229">
        <f>D35</f>
        <v>0</v>
      </c>
      <c r="I174" s="229">
        <f>D75</f>
        <v>144.95833333333334</v>
      </c>
      <c r="J174" s="229">
        <f>E158</f>
        <v>0</v>
      </c>
      <c r="K174" s="229">
        <f>D120</f>
        <v>0</v>
      </c>
      <c r="L174" s="7"/>
    </row>
    <row r="175" spans="1:12" ht="16.5" customHeight="1" thickTop="1" thickBot="1" x14ac:dyDescent="0.35">
      <c r="A175" s="7"/>
      <c r="B175" s="285"/>
      <c r="C175" s="289"/>
      <c r="D175" s="7"/>
      <c r="E175" s="287"/>
      <c r="F175" s="287"/>
      <c r="G175" s="289"/>
      <c r="H175" s="229"/>
      <c r="I175" s="229"/>
      <c r="J175" s="229"/>
      <c r="K175" s="229"/>
      <c r="L175" s="7"/>
    </row>
    <row r="176" spans="1:12" ht="16.5" customHeight="1" thickTop="1" thickBot="1" x14ac:dyDescent="0.35">
      <c r="A176" s="7"/>
      <c r="B176" s="285" t="s">
        <v>97</v>
      </c>
      <c r="C176" s="288">
        <f>D124</f>
        <v>0</v>
      </c>
      <c r="D176" s="7"/>
      <c r="E176" s="286" t="s">
        <v>98</v>
      </c>
      <c r="F176" s="286"/>
      <c r="G176" s="288">
        <f>D37+D77+D122+E160</f>
        <v>0</v>
      </c>
      <c r="H176" s="229">
        <f>D37</f>
        <v>0</v>
      </c>
      <c r="I176" s="229">
        <f>D77</f>
        <v>0</v>
      </c>
      <c r="J176" s="229">
        <f>E160</f>
        <v>0</v>
      </c>
      <c r="K176" s="229">
        <f>D122</f>
        <v>0</v>
      </c>
      <c r="L176" s="7"/>
    </row>
    <row r="177" spans="1:12" ht="16.5" customHeight="1" thickTop="1" thickBot="1" x14ac:dyDescent="0.35">
      <c r="A177" s="7"/>
      <c r="B177" s="285"/>
      <c r="C177" s="289"/>
      <c r="D177" s="7"/>
      <c r="E177" s="287"/>
      <c r="F177" s="287"/>
      <c r="G177" s="289"/>
      <c r="H177" s="229"/>
      <c r="I177" s="229"/>
      <c r="J177" s="229"/>
      <c r="K177" s="229"/>
      <c r="L177" s="7"/>
    </row>
    <row r="178" spans="1:12" ht="15.6" customHeight="1" thickTop="1" thickBot="1" x14ac:dyDescent="0.35">
      <c r="A178" s="7"/>
      <c r="B178" s="285" t="s">
        <v>99</v>
      </c>
      <c r="C178" s="288">
        <f>E164</f>
        <v>0</v>
      </c>
      <c r="D178" s="7"/>
      <c r="E178" s="7"/>
      <c r="F178" s="7"/>
      <c r="G178" s="7">
        <f>D39+D79+D162</f>
        <v>0</v>
      </c>
      <c r="H178" s="7"/>
      <c r="I178" s="7"/>
      <c r="J178" s="7"/>
      <c r="K178" s="7"/>
      <c r="L178" s="7"/>
    </row>
    <row r="179" spans="1:12" ht="15.6" customHeight="1" thickTop="1" thickBot="1" x14ac:dyDescent="0.35">
      <c r="A179" s="7"/>
      <c r="B179" s="285"/>
      <c r="C179" s="289"/>
      <c r="D179" s="7"/>
      <c r="E179" s="7"/>
      <c r="F179" s="7"/>
      <c r="G179" s="7"/>
      <c r="H179" s="7"/>
      <c r="I179" s="7"/>
      <c r="J179" s="7"/>
      <c r="K179" s="7"/>
      <c r="L179" s="7"/>
    </row>
    <row r="180" spans="1:12" ht="15" thickTop="1" x14ac:dyDescent="0.3">
      <c r="A180" s="7"/>
      <c r="B180" s="292" t="s">
        <v>100</v>
      </c>
      <c r="C180" s="293">
        <f>SUM(C172:C179)</f>
        <v>2126.0555555555557</v>
      </c>
      <c r="D180" s="7"/>
      <c r="E180" s="7"/>
      <c r="F180" s="7"/>
      <c r="G180" s="7"/>
      <c r="H180" s="7"/>
      <c r="I180" s="7"/>
      <c r="J180" s="7"/>
      <c r="K180" s="7"/>
      <c r="L180" s="7"/>
    </row>
    <row r="181" spans="1:12" x14ac:dyDescent="0.3">
      <c r="A181" s="7"/>
      <c r="B181" s="292"/>
      <c r="C181" s="294"/>
      <c r="D181" s="7"/>
      <c r="E181" s="7"/>
      <c r="F181" s="7"/>
      <c r="G181" s="7"/>
      <c r="H181" s="7"/>
      <c r="I181" s="7"/>
      <c r="J181" s="7"/>
      <c r="K181" s="7"/>
      <c r="L181" s="7"/>
    </row>
    <row r="182" spans="1:12" x14ac:dyDescent="0.3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</row>
    <row r="212" spans="15:28" x14ac:dyDescent="0.3">
      <c r="P212" s="199"/>
      <c r="Q212" s="199"/>
    </row>
    <row r="213" spans="15:28" x14ac:dyDescent="0.3">
      <c r="Q213" s="200"/>
    </row>
    <row r="214" spans="15:28" x14ac:dyDescent="0.3">
      <c r="P214" s="200"/>
      <c r="Q214" s="201"/>
    </row>
    <row r="215" spans="15:28" x14ac:dyDescent="0.3">
      <c r="P215" s="200"/>
      <c r="Q215" s="200"/>
    </row>
    <row r="216" spans="15:28" x14ac:dyDescent="0.3">
      <c r="P216" s="200"/>
      <c r="Q216" s="200"/>
    </row>
    <row r="217" spans="15:28" x14ac:dyDescent="0.3">
      <c r="P217" s="200"/>
      <c r="Q217" s="200"/>
    </row>
    <row r="218" spans="15:28" x14ac:dyDescent="0.3">
      <c r="P218" s="202" t="s">
        <v>101</v>
      </c>
      <c r="Q218" s="202" t="s">
        <v>102</v>
      </c>
      <c r="R218" s="203" t="s">
        <v>103</v>
      </c>
      <c r="S218" s="204" t="s">
        <v>104</v>
      </c>
      <c r="T218" s="204" t="s">
        <v>105</v>
      </c>
      <c r="U218" s="204" t="s">
        <v>106</v>
      </c>
      <c r="V218" s="204" t="s">
        <v>107</v>
      </c>
      <c r="W218" s="204" t="s">
        <v>108</v>
      </c>
      <c r="X218" s="204" t="s">
        <v>109</v>
      </c>
      <c r="Y218" s="204" t="s">
        <v>110</v>
      </c>
      <c r="Z218" s="204" t="s">
        <v>111</v>
      </c>
      <c r="AA218" s="205" t="s">
        <v>112</v>
      </c>
      <c r="AB218" s="205"/>
    </row>
    <row r="219" spans="15:28" x14ac:dyDescent="0.3">
      <c r="O219" s="198" t="s">
        <v>113</v>
      </c>
      <c r="P219" s="202" t="s">
        <v>16</v>
      </c>
      <c r="Q219" s="202">
        <f>G10</f>
        <v>0</v>
      </c>
      <c r="R219" s="206">
        <f>Dados!J11</f>
        <v>0.18</v>
      </c>
      <c r="S219" s="206">
        <f>Dados!L11</f>
        <v>1.6500000000000001E-2</v>
      </c>
      <c r="T219" s="206">
        <f>Dados!N11</f>
        <v>7.5999999999999998E-2</v>
      </c>
      <c r="U219" s="206">
        <f>Dados!P11</f>
        <v>0</v>
      </c>
      <c r="V219" s="202">
        <f>Q219*(1-R219-S219-T219-U219)</f>
        <v>0</v>
      </c>
      <c r="W219" s="207">
        <f>$C$27</f>
        <v>0.4</v>
      </c>
      <c r="X219" s="208">
        <f>V219/(1-W219)</f>
        <v>0</v>
      </c>
      <c r="Y219" s="208">
        <f>X219/(1-R219-S219-T219-U219)</f>
        <v>0</v>
      </c>
      <c r="Z219" s="208">
        <f>X219*W219</f>
        <v>0</v>
      </c>
      <c r="AA219" s="209">
        <f>Z219+Z221+Z223+Z225</f>
        <v>0</v>
      </c>
    </row>
    <row r="220" spans="15:28" x14ac:dyDescent="0.3">
      <c r="O220" s="198" t="s">
        <v>114</v>
      </c>
      <c r="P220" s="202" t="s">
        <v>16</v>
      </c>
      <c r="Q220" s="202">
        <f>G10</f>
        <v>0</v>
      </c>
      <c r="R220" s="206">
        <f>Dados!K11</f>
        <v>0.04</v>
      </c>
      <c r="S220" s="206">
        <f>Dados!M11</f>
        <v>1.6500000000000001E-2</v>
      </c>
      <c r="T220" s="206">
        <f>Dados!O11</f>
        <v>7.5999999999999998E-2</v>
      </c>
      <c r="U220" s="206">
        <f>Dados!Q11</f>
        <v>0</v>
      </c>
      <c r="V220" s="202">
        <f t="shared" ref="V220:V226" si="17">Q220*(1-R220-S220-T220-U220)</f>
        <v>0</v>
      </c>
      <c r="W220" s="207">
        <f t="shared" ref="W220:W226" si="18">$C$27</f>
        <v>0.4</v>
      </c>
      <c r="X220" s="208">
        <f t="shared" ref="X220:X226" si="19">V220/(1-W220)</f>
        <v>0</v>
      </c>
      <c r="Y220" s="208">
        <f t="shared" ref="Y220:Y226" si="20">X220/(1-R220-S220-T220-U220)</f>
        <v>0</v>
      </c>
      <c r="Z220" s="208">
        <f t="shared" ref="Z220:Z226" si="21">X220*W220</f>
        <v>0</v>
      </c>
      <c r="AA220" s="209">
        <f>Z220+Z222+Z224+Z226</f>
        <v>0</v>
      </c>
    </row>
    <row r="221" spans="15:28" x14ac:dyDescent="0.3">
      <c r="O221" s="198" t="s">
        <v>113</v>
      </c>
      <c r="P221" s="202" t="s">
        <v>17</v>
      </c>
      <c r="Q221" s="202">
        <f>G11</f>
        <v>0</v>
      </c>
      <c r="R221" s="206">
        <f>Dados!J12</f>
        <v>0.18</v>
      </c>
      <c r="S221" s="206">
        <f>Dados!L12</f>
        <v>1.6500000000000001E-2</v>
      </c>
      <c r="T221" s="206">
        <f>Dados!N12</f>
        <v>7.5999999999999998E-2</v>
      </c>
      <c r="U221" s="206">
        <f>Dados!P12</f>
        <v>0</v>
      </c>
      <c r="V221" s="202">
        <f t="shared" si="17"/>
        <v>0</v>
      </c>
      <c r="W221" s="207">
        <f t="shared" si="18"/>
        <v>0.4</v>
      </c>
      <c r="X221" s="208">
        <f t="shared" si="19"/>
        <v>0</v>
      </c>
      <c r="Y221" s="208">
        <f t="shared" si="20"/>
        <v>0</v>
      </c>
      <c r="Z221" s="208">
        <f t="shared" si="21"/>
        <v>0</v>
      </c>
    </row>
    <row r="222" spans="15:28" x14ac:dyDescent="0.3">
      <c r="O222" s="198" t="s">
        <v>114</v>
      </c>
      <c r="P222" s="202" t="s">
        <v>17</v>
      </c>
      <c r="Q222" s="202">
        <f>G11</f>
        <v>0</v>
      </c>
      <c r="R222" s="206">
        <f>Dados!K12</f>
        <v>0.04</v>
      </c>
      <c r="S222" s="206">
        <f>Dados!M12</f>
        <v>1.6500000000000001E-2</v>
      </c>
      <c r="T222" s="206">
        <f>Dados!O12</f>
        <v>7.5999999999999998E-2</v>
      </c>
      <c r="U222" s="206">
        <f>Dados!Q12</f>
        <v>0</v>
      </c>
      <c r="V222" s="202">
        <f t="shared" si="17"/>
        <v>0</v>
      </c>
      <c r="W222" s="207">
        <f t="shared" si="18"/>
        <v>0.4</v>
      </c>
      <c r="X222" s="208">
        <f t="shared" si="19"/>
        <v>0</v>
      </c>
      <c r="Y222" s="208">
        <f t="shared" si="20"/>
        <v>0</v>
      </c>
      <c r="Z222" s="208">
        <f t="shared" si="21"/>
        <v>0</v>
      </c>
    </row>
    <row r="223" spans="15:28" x14ac:dyDescent="0.3">
      <c r="O223" s="198" t="s">
        <v>113</v>
      </c>
      <c r="P223" s="204" t="s">
        <v>115</v>
      </c>
      <c r="Q223" s="202">
        <f>G12</f>
        <v>0</v>
      </c>
      <c r="R223" s="206">
        <f>Dados!J13</f>
        <v>0</v>
      </c>
      <c r="S223" s="206">
        <f>Dados!L13</f>
        <v>6.4999999999999997E-3</v>
      </c>
      <c r="T223" s="206">
        <f>Dados!N13</f>
        <v>0.03</v>
      </c>
      <c r="U223" s="206">
        <f>Dados!P13</f>
        <v>2.9000000000000001E-2</v>
      </c>
      <c r="V223" s="202">
        <f t="shared" si="17"/>
        <v>0</v>
      </c>
      <c r="W223" s="207">
        <f t="shared" si="18"/>
        <v>0.4</v>
      </c>
      <c r="X223" s="208">
        <f t="shared" si="19"/>
        <v>0</v>
      </c>
      <c r="Y223" s="208">
        <f t="shared" si="20"/>
        <v>0</v>
      </c>
      <c r="Z223" s="208">
        <f t="shared" si="21"/>
        <v>0</v>
      </c>
    </row>
    <row r="224" spans="15:28" x14ac:dyDescent="0.3">
      <c r="O224" s="198" t="s">
        <v>114</v>
      </c>
      <c r="P224" s="204" t="s">
        <v>115</v>
      </c>
      <c r="Q224" s="202">
        <f>G12</f>
        <v>0</v>
      </c>
      <c r="R224" s="206">
        <f>Dados!K13</f>
        <v>0</v>
      </c>
      <c r="S224" s="206">
        <f>Dados!M13</f>
        <v>6.4999999999999997E-3</v>
      </c>
      <c r="T224" s="206">
        <f>Dados!O13</f>
        <v>0.03</v>
      </c>
      <c r="U224" s="206">
        <f>Dados!Q13</f>
        <v>2.9000000000000001E-2</v>
      </c>
      <c r="V224" s="202">
        <f t="shared" si="17"/>
        <v>0</v>
      </c>
      <c r="W224" s="207">
        <f t="shared" si="18"/>
        <v>0.4</v>
      </c>
      <c r="X224" s="208">
        <f t="shared" si="19"/>
        <v>0</v>
      </c>
      <c r="Y224" s="208">
        <f t="shared" si="20"/>
        <v>0</v>
      </c>
      <c r="Z224" s="208">
        <f t="shared" si="21"/>
        <v>0</v>
      </c>
    </row>
    <row r="225" spans="15:26" x14ac:dyDescent="0.3">
      <c r="O225" s="198" t="s">
        <v>113</v>
      </c>
      <c r="P225" s="202" t="s">
        <v>19</v>
      </c>
      <c r="Q225" s="202">
        <f>G13</f>
        <v>0</v>
      </c>
      <c r="R225" s="206">
        <f>Dados!J14</f>
        <v>0</v>
      </c>
      <c r="S225" s="206">
        <f>Dados!L14</f>
        <v>1.6500000000000001E-2</v>
      </c>
      <c r="T225" s="206">
        <f>Dados!N14</f>
        <v>7.5999999999999998E-2</v>
      </c>
      <c r="U225" s="206">
        <f>Dados!P14</f>
        <v>0.05</v>
      </c>
      <c r="V225" s="202">
        <f t="shared" si="17"/>
        <v>0</v>
      </c>
      <c r="W225" s="207">
        <f t="shared" si="18"/>
        <v>0.4</v>
      </c>
      <c r="X225" s="208">
        <f t="shared" si="19"/>
        <v>0</v>
      </c>
      <c r="Y225" s="208">
        <f t="shared" si="20"/>
        <v>0</v>
      </c>
      <c r="Z225" s="208">
        <f t="shared" si="21"/>
        <v>0</v>
      </c>
    </row>
    <row r="226" spans="15:26" x14ac:dyDescent="0.3">
      <c r="O226" s="198" t="s">
        <v>114</v>
      </c>
      <c r="P226" s="202" t="s">
        <v>19</v>
      </c>
      <c r="Q226" s="202">
        <f>G13</f>
        <v>0</v>
      </c>
      <c r="R226" s="206">
        <f>Dados!K14</f>
        <v>0</v>
      </c>
      <c r="S226" s="206">
        <f>Dados!M14</f>
        <v>1.6500000000000001E-2</v>
      </c>
      <c r="T226" s="206">
        <f>Dados!O14</f>
        <v>7.5999999999999998E-2</v>
      </c>
      <c r="U226" s="206">
        <f>Dados!Q14</f>
        <v>0.05</v>
      </c>
      <c r="V226" s="202">
        <f t="shared" si="17"/>
        <v>0</v>
      </c>
      <c r="W226" s="207">
        <f t="shared" si="18"/>
        <v>0.4</v>
      </c>
      <c r="X226" s="208">
        <f t="shared" si="19"/>
        <v>0</v>
      </c>
      <c r="Y226" s="208">
        <f t="shared" si="20"/>
        <v>0</v>
      </c>
      <c r="Z226" s="208">
        <f t="shared" si="21"/>
        <v>0</v>
      </c>
    </row>
    <row r="229" spans="15:26" x14ac:dyDescent="0.3">
      <c r="O229" s="198" t="s">
        <v>116</v>
      </c>
      <c r="P229" s="210"/>
      <c r="R229" s="210"/>
    </row>
    <row r="231" spans="15:26" x14ac:dyDescent="0.3">
      <c r="O231" s="198" t="s">
        <v>113</v>
      </c>
      <c r="P231" s="211">
        <f>IFERROR(Y219+Y221+Y223+Y225,"")</f>
        <v>0</v>
      </c>
      <c r="Q231" s="212">
        <f>IFERROR(X219+X221+X223+X225,"")</f>
        <v>0</v>
      </c>
      <c r="R231" s="212">
        <f>IFERROR(P231-Q231,"")</f>
        <v>0</v>
      </c>
    </row>
    <row r="232" spans="15:26" x14ac:dyDescent="0.3">
      <c r="O232" s="198" t="s">
        <v>114</v>
      </c>
      <c r="P232" s="211">
        <f>IFERROR(Y220+Y222+Y224+Y226,"")</f>
        <v>0</v>
      </c>
      <c r="Q232" s="212">
        <f>IFERROR(X220+X222+X224+X226,"")</f>
        <v>0</v>
      </c>
      <c r="R232" s="212">
        <f>IFERROR(P232-Q232,"")</f>
        <v>0</v>
      </c>
    </row>
    <row r="239" spans="15:26" x14ac:dyDescent="0.3">
      <c r="V239" s="213"/>
      <c r="W239" s="214" t="s">
        <v>14</v>
      </c>
      <c r="X239" s="215"/>
      <c r="Y239" s="200"/>
    </row>
    <row r="240" spans="15:26" x14ac:dyDescent="0.3">
      <c r="V240" s="216" t="s">
        <v>16</v>
      </c>
      <c r="W240" s="200">
        <f>$K$10-$K$10*R219-$K$10*S219-$K$10*T219-$K$10*U219</f>
        <v>0</v>
      </c>
      <c r="X240" s="217">
        <f>W240-V219</f>
        <v>0</v>
      </c>
      <c r="Y240" s="218" t="str">
        <f>IFERROR(1-(V219/W240),"")</f>
        <v/>
      </c>
    </row>
    <row r="241" spans="16:25" x14ac:dyDescent="0.3">
      <c r="V241" s="216" t="s">
        <v>117</v>
      </c>
      <c r="W241" s="200">
        <f>K11-K11*R221-K11*S221-K11*T221-K11*U221</f>
        <v>0</v>
      </c>
      <c r="X241" s="217">
        <f>W241-V221</f>
        <v>0</v>
      </c>
      <c r="Y241" s="218" t="str">
        <f>IFERROR(1-(V221/W241),"")</f>
        <v/>
      </c>
    </row>
    <row r="242" spans="16:25" x14ac:dyDescent="0.3">
      <c r="V242" s="216" t="s">
        <v>18</v>
      </c>
      <c r="W242" s="200">
        <f>K12-K12*R223-K12*S223-K12*T223-K12*U223</f>
        <v>0</v>
      </c>
      <c r="X242" s="217">
        <f>W242-V223</f>
        <v>0</v>
      </c>
      <c r="Y242" s="218" t="str">
        <f>IFERROR(1-(V223/W242),"")</f>
        <v/>
      </c>
    </row>
    <row r="243" spans="16:25" x14ac:dyDescent="0.3">
      <c r="V243" s="216" t="s">
        <v>19</v>
      </c>
      <c r="W243" s="200">
        <f>K13-K13*R225-K13*S225-K13*T225-K13*U225</f>
        <v>0</v>
      </c>
      <c r="X243" s="217">
        <f>W243-V225</f>
        <v>0</v>
      </c>
      <c r="Y243" s="218" t="str">
        <f>IFERROR(1-(V225/W243),"")</f>
        <v/>
      </c>
    </row>
    <row r="244" spans="16:25" x14ac:dyDescent="0.3">
      <c r="V244" s="216"/>
      <c r="X244" s="219"/>
    </row>
    <row r="245" spans="16:25" x14ac:dyDescent="0.3">
      <c r="V245" s="216"/>
      <c r="X245" s="219"/>
    </row>
    <row r="246" spans="16:25" x14ac:dyDescent="0.3">
      <c r="P246" s="200"/>
      <c r="V246" s="216"/>
      <c r="W246" s="198" t="s">
        <v>118</v>
      </c>
      <c r="X246" s="217">
        <f>SUM(K10:K13)</f>
        <v>0</v>
      </c>
      <c r="Y246" s="198" t="str">
        <f>IFERROR(W252/X246,"")</f>
        <v/>
      </c>
    </row>
    <row r="247" spans="16:25" x14ac:dyDescent="0.3">
      <c r="P247" s="200"/>
      <c r="V247" s="216"/>
      <c r="W247" s="200" t="str">
        <f>IFERROR(K10*L10,"")</f>
        <v/>
      </c>
      <c r="X247" s="219"/>
      <c r="Y247" s="200"/>
    </row>
    <row r="248" spans="16:25" x14ac:dyDescent="0.3">
      <c r="P248" s="200"/>
      <c r="V248" s="216"/>
      <c r="W248" s="200" t="str">
        <f>IFERROR(K11*L11,"")</f>
        <v/>
      </c>
      <c r="X248" s="219"/>
    </row>
    <row r="249" spans="16:25" x14ac:dyDescent="0.3">
      <c r="P249" s="200"/>
      <c r="V249" s="216"/>
      <c r="W249" s="200" t="str">
        <f>IFERROR(K12*L12,"")</f>
        <v/>
      </c>
      <c r="X249" s="219"/>
    </row>
    <row r="250" spans="16:25" x14ac:dyDescent="0.3">
      <c r="V250" s="216"/>
      <c r="W250" s="200" t="str">
        <f>IFERROR(K13*L13,"")</f>
        <v/>
      </c>
      <c r="X250" s="219"/>
    </row>
    <row r="251" spans="16:25" x14ac:dyDescent="0.3">
      <c r="V251" s="216"/>
      <c r="X251" s="219"/>
    </row>
    <row r="252" spans="16:25" x14ac:dyDescent="0.3">
      <c r="V252" s="216"/>
      <c r="W252" s="200">
        <f>SUM(W247:W250)</f>
        <v>0</v>
      </c>
      <c r="X252" s="219"/>
    </row>
    <row r="253" spans="16:25" x14ac:dyDescent="0.3">
      <c r="V253" s="220"/>
      <c r="W253" s="221"/>
      <c r="X253" s="222"/>
    </row>
    <row r="254" spans="16:25" x14ac:dyDescent="0.3">
      <c r="P254" s="213" t="s">
        <v>119</v>
      </c>
      <c r="Q254" s="223" t="s">
        <v>90</v>
      </c>
      <c r="R254" s="223"/>
      <c r="S254" s="223"/>
      <c r="T254" s="215"/>
      <c r="W254" s="200"/>
    </row>
    <row r="255" spans="16:25" x14ac:dyDescent="0.3">
      <c r="P255" s="224">
        <f>1-C67</f>
        <v>0.72</v>
      </c>
      <c r="R255" s="210">
        <f>1-C59-E59-C61-E61</f>
        <v>1</v>
      </c>
      <c r="T255" s="219"/>
    </row>
    <row r="256" spans="16:25" x14ac:dyDescent="0.3">
      <c r="P256" s="225">
        <f t="shared" ref="P256:P262" si="22">F47/$P$255</f>
        <v>9722.2222222222226</v>
      </c>
      <c r="R256" s="200">
        <f t="shared" ref="R256:R262" si="23">P256/$R$255</f>
        <v>9722.2222222222226</v>
      </c>
      <c r="T256" s="219"/>
    </row>
    <row r="257" spans="16:20" x14ac:dyDescent="0.3">
      <c r="P257" s="225">
        <f t="shared" si="22"/>
        <v>0</v>
      </c>
      <c r="R257" s="200">
        <f t="shared" si="23"/>
        <v>0</v>
      </c>
      <c r="T257" s="219"/>
    </row>
    <row r="258" spans="16:20" x14ac:dyDescent="0.3">
      <c r="P258" s="225">
        <f t="shared" si="22"/>
        <v>0</v>
      </c>
      <c r="R258" s="200">
        <f t="shared" si="23"/>
        <v>0</v>
      </c>
      <c r="T258" s="219"/>
    </row>
    <row r="259" spans="16:20" x14ac:dyDescent="0.3">
      <c r="P259" s="225">
        <f t="shared" si="22"/>
        <v>0</v>
      </c>
      <c r="R259" s="200">
        <f t="shared" si="23"/>
        <v>0</v>
      </c>
      <c r="T259" s="219"/>
    </row>
    <row r="260" spans="16:20" x14ac:dyDescent="0.3">
      <c r="P260" s="225">
        <f t="shared" si="22"/>
        <v>0</v>
      </c>
      <c r="R260" s="200">
        <f t="shared" si="23"/>
        <v>0</v>
      </c>
      <c r="T260" s="219"/>
    </row>
    <row r="261" spans="16:20" x14ac:dyDescent="0.3">
      <c r="P261" s="225">
        <f t="shared" si="22"/>
        <v>0</v>
      </c>
      <c r="R261" s="200">
        <f t="shared" si="23"/>
        <v>0</v>
      </c>
      <c r="T261" s="219"/>
    </row>
    <row r="262" spans="16:20" x14ac:dyDescent="0.3">
      <c r="P262" s="225">
        <f t="shared" si="22"/>
        <v>0</v>
      </c>
      <c r="R262" s="200">
        <f t="shared" si="23"/>
        <v>0</v>
      </c>
      <c r="T262" s="219"/>
    </row>
    <row r="263" spans="16:20" x14ac:dyDescent="0.3">
      <c r="P263" s="216"/>
      <c r="T263" s="219"/>
    </row>
    <row r="264" spans="16:20" x14ac:dyDescent="0.3">
      <c r="P264" s="216"/>
      <c r="R264" s="200">
        <f>SUM(R256:R262)</f>
        <v>9722.2222222222226</v>
      </c>
      <c r="T264" s="219"/>
    </row>
    <row r="265" spans="16:20" x14ac:dyDescent="0.3">
      <c r="P265" s="216"/>
      <c r="T265" s="219"/>
    </row>
    <row r="266" spans="16:20" x14ac:dyDescent="0.3">
      <c r="P266" s="216"/>
      <c r="T266" s="219"/>
    </row>
    <row r="267" spans="16:20" x14ac:dyDescent="0.3">
      <c r="P267" s="225">
        <f>P256*$C$67</f>
        <v>2722.2222222222226</v>
      </c>
      <c r="T267" s="219"/>
    </row>
    <row r="268" spans="16:20" x14ac:dyDescent="0.3">
      <c r="P268" s="225">
        <f t="shared" ref="P268:P273" si="24">P257*$C$67</f>
        <v>0</v>
      </c>
      <c r="T268" s="219"/>
    </row>
    <row r="269" spans="16:20" x14ac:dyDescent="0.3">
      <c r="P269" s="225">
        <f t="shared" si="24"/>
        <v>0</v>
      </c>
      <c r="T269" s="219"/>
    </row>
    <row r="270" spans="16:20" x14ac:dyDescent="0.3">
      <c r="P270" s="225">
        <f t="shared" si="24"/>
        <v>0</v>
      </c>
      <c r="T270" s="219"/>
    </row>
    <row r="271" spans="16:20" x14ac:dyDescent="0.3">
      <c r="P271" s="225">
        <f t="shared" si="24"/>
        <v>0</v>
      </c>
      <c r="T271" s="219"/>
    </row>
    <row r="272" spans="16:20" x14ac:dyDescent="0.3">
      <c r="P272" s="225">
        <f t="shared" si="24"/>
        <v>0</v>
      </c>
      <c r="T272" s="219"/>
    </row>
    <row r="273" spans="16:20" x14ac:dyDescent="0.3">
      <c r="P273" s="225">
        <f t="shared" si="24"/>
        <v>0</v>
      </c>
      <c r="T273" s="219"/>
    </row>
    <row r="274" spans="16:20" x14ac:dyDescent="0.3">
      <c r="P274" s="220"/>
      <c r="Q274" s="226"/>
      <c r="R274" s="226"/>
      <c r="S274" s="226"/>
      <c r="T274" s="222"/>
    </row>
    <row r="278" spans="16:20" x14ac:dyDescent="0.3">
      <c r="P278" s="213" t="s">
        <v>14</v>
      </c>
      <c r="Q278" s="223"/>
      <c r="R278" s="223"/>
      <c r="S278" s="215"/>
    </row>
    <row r="279" spans="16:20" x14ac:dyDescent="0.3">
      <c r="P279" s="225">
        <f t="shared" ref="P279:P285" si="25">J47-$C$59*J47-$C$61*J47-$E$59*J47-$E$61*J47</f>
        <v>0</v>
      </c>
      <c r="Q279" s="200">
        <f t="shared" ref="Q279:Q285" si="26">P279-F47</f>
        <v>-7000</v>
      </c>
      <c r="R279" s="227" t="str">
        <f>IFERROR(Q279/P279,"")</f>
        <v/>
      </c>
      <c r="S279" s="219"/>
    </row>
    <row r="280" spans="16:20" x14ac:dyDescent="0.3">
      <c r="P280" s="225">
        <f t="shared" si="25"/>
        <v>0</v>
      </c>
      <c r="Q280" s="200">
        <f t="shared" si="26"/>
        <v>0</v>
      </c>
      <c r="R280" s="227" t="str">
        <f t="shared" ref="R280:R285" si="27">IFERROR(Q280/P280,"")</f>
        <v/>
      </c>
      <c r="S280" s="219"/>
    </row>
    <row r="281" spans="16:20" x14ac:dyDescent="0.3">
      <c r="P281" s="225">
        <f t="shared" si="25"/>
        <v>0</v>
      </c>
      <c r="Q281" s="200">
        <f t="shared" si="26"/>
        <v>0</v>
      </c>
      <c r="R281" s="227" t="str">
        <f t="shared" si="27"/>
        <v/>
      </c>
      <c r="S281" s="219"/>
    </row>
    <row r="282" spans="16:20" x14ac:dyDescent="0.3">
      <c r="P282" s="225">
        <f t="shared" si="25"/>
        <v>0</v>
      </c>
      <c r="Q282" s="200">
        <f t="shared" si="26"/>
        <v>0</v>
      </c>
      <c r="R282" s="227" t="str">
        <f t="shared" si="27"/>
        <v/>
      </c>
      <c r="S282" s="219"/>
    </row>
    <row r="283" spans="16:20" x14ac:dyDescent="0.3">
      <c r="P283" s="225">
        <f t="shared" si="25"/>
        <v>0</v>
      </c>
      <c r="Q283" s="200">
        <f t="shared" si="26"/>
        <v>0</v>
      </c>
      <c r="R283" s="227" t="str">
        <f t="shared" si="27"/>
        <v/>
      </c>
      <c r="S283" s="219"/>
    </row>
    <row r="284" spans="16:20" x14ac:dyDescent="0.3">
      <c r="P284" s="225">
        <f t="shared" si="25"/>
        <v>0</v>
      </c>
      <c r="Q284" s="200">
        <f t="shared" si="26"/>
        <v>0</v>
      </c>
      <c r="R284" s="227" t="str">
        <f t="shared" si="27"/>
        <v/>
      </c>
      <c r="S284" s="219"/>
    </row>
    <row r="285" spans="16:20" x14ac:dyDescent="0.3">
      <c r="P285" s="225">
        <f t="shared" si="25"/>
        <v>0</v>
      </c>
      <c r="Q285" s="200">
        <f t="shared" si="26"/>
        <v>0</v>
      </c>
      <c r="R285" s="227" t="str">
        <f t="shared" si="27"/>
        <v/>
      </c>
      <c r="S285" s="219"/>
    </row>
    <row r="286" spans="16:20" x14ac:dyDescent="0.3">
      <c r="P286" s="216"/>
      <c r="R286" s="198" t="str">
        <f>IFERROR(Q284/P284,"")</f>
        <v/>
      </c>
      <c r="S286" s="219"/>
    </row>
    <row r="287" spans="16:20" x14ac:dyDescent="0.3">
      <c r="P287" s="216"/>
      <c r="R287" s="198" t="str">
        <f>IFERROR(Q285/P285,"")</f>
        <v/>
      </c>
      <c r="S287" s="219"/>
    </row>
    <row r="288" spans="16:20" x14ac:dyDescent="0.3">
      <c r="P288" s="228" t="s">
        <v>118</v>
      </c>
      <c r="Q288" s="199"/>
      <c r="S288" s="219"/>
    </row>
    <row r="289" spans="16:19" x14ac:dyDescent="0.3">
      <c r="P289" s="216"/>
      <c r="Q289" s="200">
        <f>SUM(J47:J53)</f>
        <v>0</v>
      </c>
      <c r="S289" s="219"/>
    </row>
    <row r="290" spans="16:19" x14ac:dyDescent="0.3">
      <c r="P290" s="225">
        <f>IFERROR(J47*K47,"")</f>
        <v>0</v>
      </c>
      <c r="Q290" s="201" t="str">
        <f>IFERROR(P299/Q289,"")</f>
        <v/>
      </c>
      <c r="S290" s="219"/>
    </row>
    <row r="291" spans="16:19" x14ac:dyDescent="0.3">
      <c r="P291" s="216"/>
      <c r="S291" s="219"/>
    </row>
    <row r="292" spans="16:19" x14ac:dyDescent="0.3">
      <c r="P292" s="216"/>
      <c r="S292" s="219"/>
    </row>
    <row r="293" spans="16:19" x14ac:dyDescent="0.3">
      <c r="P293" s="225" t="str">
        <f t="shared" ref="P293:P298" si="28">IFERROR(J48*K48,"")</f>
        <v/>
      </c>
      <c r="S293" s="219"/>
    </row>
    <row r="294" spans="16:19" x14ac:dyDescent="0.3">
      <c r="P294" s="225" t="str">
        <f t="shared" si="28"/>
        <v/>
      </c>
      <c r="S294" s="219"/>
    </row>
    <row r="295" spans="16:19" x14ac:dyDescent="0.3">
      <c r="P295" s="225" t="str">
        <f t="shared" si="28"/>
        <v/>
      </c>
      <c r="S295" s="219"/>
    </row>
    <row r="296" spans="16:19" x14ac:dyDescent="0.3">
      <c r="P296" s="225" t="str">
        <f t="shared" si="28"/>
        <v/>
      </c>
      <c r="S296" s="219"/>
    </row>
    <row r="297" spans="16:19" x14ac:dyDescent="0.3">
      <c r="P297" s="225" t="str">
        <f t="shared" si="28"/>
        <v/>
      </c>
      <c r="S297" s="219"/>
    </row>
    <row r="298" spans="16:19" x14ac:dyDescent="0.3">
      <c r="P298" s="225" t="str">
        <f t="shared" si="28"/>
        <v/>
      </c>
      <c r="S298" s="219"/>
    </row>
    <row r="299" spans="16:19" x14ac:dyDescent="0.3">
      <c r="P299" s="225">
        <f>SUM(P290:P298)</f>
        <v>0</v>
      </c>
      <c r="S299" s="219"/>
    </row>
    <row r="300" spans="16:19" x14ac:dyDescent="0.3">
      <c r="P300" s="216"/>
      <c r="S300" s="219"/>
    </row>
    <row r="301" spans="16:19" x14ac:dyDescent="0.3">
      <c r="P301" s="216"/>
      <c r="S301" s="219"/>
    </row>
    <row r="302" spans="16:19" x14ac:dyDescent="0.3">
      <c r="P302" s="216"/>
      <c r="S302" s="219"/>
    </row>
    <row r="303" spans="16:19" x14ac:dyDescent="0.3">
      <c r="P303" s="216"/>
      <c r="S303" s="219"/>
    </row>
    <row r="304" spans="16:19" x14ac:dyDescent="0.3">
      <c r="P304" s="216"/>
      <c r="S304" s="219"/>
    </row>
    <row r="305" spans="16:19" x14ac:dyDescent="0.3">
      <c r="P305" s="216"/>
      <c r="S305" s="219"/>
    </row>
    <row r="306" spans="16:19" x14ac:dyDescent="0.3">
      <c r="P306" s="216"/>
      <c r="S306" s="219"/>
    </row>
    <row r="307" spans="16:19" x14ac:dyDescent="0.3">
      <c r="P307" s="216"/>
      <c r="S307" s="219"/>
    </row>
    <row r="308" spans="16:19" x14ac:dyDescent="0.3">
      <c r="P308" s="216"/>
      <c r="S308" s="219"/>
    </row>
    <row r="309" spans="16:19" x14ac:dyDescent="0.3">
      <c r="P309" s="220"/>
      <c r="Q309" s="226"/>
      <c r="R309" s="226"/>
      <c r="S309" s="222"/>
    </row>
  </sheetData>
  <mergeCells count="219">
    <mergeCell ref="L54:L55"/>
    <mergeCell ref="C124:C125"/>
    <mergeCell ref="A169:K170"/>
    <mergeCell ref="A128:K128"/>
    <mergeCell ref="B150:B151"/>
    <mergeCell ref="B39:B40"/>
    <mergeCell ref="C39:C40"/>
    <mergeCell ref="D39:D40"/>
    <mergeCell ref="E19:F19"/>
    <mergeCell ref="D110:D111"/>
    <mergeCell ref="B112:B113"/>
    <mergeCell ref="B79:B80"/>
    <mergeCell ref="A99:C99"/>
    <mergeCell ref="A100:C100"/>
    <mergeCell ref="A101:C101"/>
    <mergeCell ref="A102:C103"/>
    <mergeCell ref="B81:B82"/>
    <mergeCell ref="C122:C123"/>
    <mergeCell ref="C116:C117"/>
    <mergeCell ref="A89:C89"/>
    <mergeCell ref="A90:C90"/>
    <mergeCell ref="A91:C91"/>
    <mergeCell ref="A92:C92"/>
    <mergeCell ref="A88:C88"/>
    <mergeCell ref="E172:F173"/>
    <mergeCell ref="E146:E147"/>
    <mergeCell ref="E148:E149"/>
    <mergeCell ref="D152:D153"/>
    <mergeCell ref="B148:B149"/>
    <mergeCell ref="B152:B153"/>
    <mergeCell ref="B158:B159"/>
    <mergeCell ref="C148:C149"/>
    <mergeCell ref="D148:D149"/>
    <mergeCell ref="C146:C147"/>
    <mergeCell ref="D146:D147"/>
    <mergeCell ref="C156:C157"/>
    <mergeCell ref="D156:D157"/>
    <mergeCell ref="B146:B147"/>
    <mergeCell ref="D158:D159"/>
    <mergeCell ref="C150:C151"/>
    <mergeCell ref="D150:D151"/>
    <mergeCell ref="B164:B165"/>
    <mergeCell ref="B154:B155"/>
    <mergeCell ref="E154:E155"/>
    <mergeCell ref="E156:E157"/>
    <mergeCell ref="E158:E159"/>
    <mergeCell ref="E164:E165"/>
    <mergeCell ref="B160:B161"/>
    <mergeCell ref="D114:D115"/>
    <mergeCell ref="B120:B121"/>
    <mergeCell ref="C120:C121"/>
    <mergeCell ref="D120:D121"/>
    <mergeCell ref="E150:E151"/>
    <mergeCell ref="E152:E153"/>
    <mergeCell ref="C152:C153"/>
    <mergeCell ref="C164:C165"/>
    <mergeCell ref="D164:D165"/>
    <mergeCell ref="B162:B163"/>
    <mergeCell ref="C160:C161"/>
    <mergeCell ref="C162:C163"/>
    <mergeCell ref="D160:D161"/>
    <mergeCell ref="D162:D163"/>
    <mergeCell ref="E160:E161"/>
    <mergeCell ref="E162:E163"/>
    <mergeCell ref="B156:B157"/>
    <mergeCell ref="C154:C155"/>
    <mergeCell ref="D154:D155"/>
    <mergeCell ref="C158:C159"/>
    <mergeCell ref="A7:J7"/>
    <mergeCell ref="K7:L7"/>
    <mergeCell ref="A6:B6"/>
    <mergeCell ref="C6:E6"/>
    <mergeCell ref="G6:H6"/>
    <mergeCell ref="K6:L6"/>
    <mergeCell ref="A17:K17"/>
    <mergeCell ref="D54:D55"/>
    <mergeCell ref="B33:B34"/>
    <mergeCell ref="C33:C34"/>
    <mergeCell ref="D33:D34"/>
    <mergeCell ref="D37:D38"/>
    <mergeCell ref="B19:B20"/>
    <mergeCell ref="B21:B22"/>
    <mergeCell ref="B31:B32"/>
    <mergeCell ref="C31:C32"/>
    <mergeCell ref="I54:I55"/>
    <mergeCell ref="D31:D32"/>
    <mergeCell ref="B37:B38"/>
    <mergeCell ref="C37:C38"/>
    <mergeCell ref="B35:B36"/>
    <mergeCell ref="D41:D42"/>
    <mergeCell ref="C41:C42"/>
    <mergeCell ref="B41:B42"/>
    <mergeCell ref="B178:B179"/>
    <mergeCell ref="B180:B181"/>
    <mergeCell ref="C172:C173"/>
    <mergeCell ref="C174:C175"/>
    <mergeCell ref="C176:C177"/>
    <mergeCell ref="C178:C179"/>
    <mergeCell ref="C180:C181"/>
    <mergeCell ref="B172:B173"/>
    <mergeCell ref="A1:L4"/>
    <mergeCell ref="B10:B13"/>
    <mergeCell ref="I14:I15"/>
    <mergeCell ref="J14:J15"/>
    <mergeCell ref="K14:K15"/>
    <mergeCell ref="L14:L15"/>
    <mergeCell ref="A10:A13"/>
    <mergeCell ref="A14:A15"/>
    <mergeCell ref="G14:G15"/>
    <mergeCell ref="H14:H15"/>
    <mergeCell ref="D14:D15"/>
    <mergeCell ref="E14:E15"/>
    <mergeCell ref="F14:F15"/>
    <mergeCell ref="A8:K8"/>
    <mergeCell ref="B14:B15"/>
    <mergeCell ref="C14:C15"/>
    <mergeCell ref="G102:G103"/>
    <mergeCell ref="F102:F103"/>
    <mergeCell ref="C79:C80"/>
    <mergeCell ref="E102:E103"/>
    <mergeCell ref="H102:H103"/>
    <mergeCell ref="I102:I103"/>
    <mergeCell ref="J102:J103"/>
    <mergeCell ref="B174:B175"/>
    <mergeCell ref="B176:B177"/>
    <mergeCell ref="E174:F175"/>
    <mergeCell ref="E176:F177"/>
    <mergeCell ref="G172:G173"/>
    <mergeCell ref="G174:G175"/>
    <mergeCell ref="G176:G177"/>
    <mergeCell ref="A93:C93"/>
    <mergeCell ref="C110:C111"/>
    <mergeCell ref="A143:K143"/>
    <mergeCell ref="A105:K105"/>
    <mergeCell ref="D122:D123"/>
    <mergeCell ref="B108:B109"/>
    <mergeCell ref="C108:C109"/>
    <mergeCell ref="D108:D109"/>
    <mergeCell ref="B114:B115"/>
    <mergeCell ref="C114:C115"/>
    <mergeCell ref="D81:D82"/>
    <mergeCell ref="B73:B74"/>
    <mergeCell ref="C73:C74"/>
    <mergeCell ref="D73:D74"/>
    <mergeCell ref="C75:C76"/>
    <mergeCell ref="D79:D80"/>
    <mergeCell ref="A85:K85"/>
    <mergeCell ref="A94:C94"/>
    <mergeCell ref="A86:C86"/>
    <mergeCell ref="B67:B68"/>
    <mergeCell ref="C67:C68"/>
    <mergeCell ref="D67:D68"/>
    <mergeCell ref="B69:B70"/>
    <mergeCell ref="C69:C70"/>
    <mergeCell ref="D69:D70"/>
    <mergeCell ref="A57:K57"/>
    <mergeCell ref="D116:D117"/>
    <mergeCell ref="D124:D125"/>
    <mergeCell ref="D118:D119"/>
    <mergeCell ref="B124:B125"/>
    <mergeCell ref="B118:B119"/>
    <mergeCell ref="C118:C119"/>
    <mergeCell ref="B122:B123"/>
    <mergeCell ref="D102:D103"/>
    <mergeCell ref="A87:C87"/>
    <mergeCell ref="A98:C98"/>
    <mergeCell ref="A96:C96"/>
    <mergeCell ref="D112:D113"/>
    <mergeCell ref="A95:C95"/>
    <mergeCell ref="B116:B117"/>
    <mergeCell ref="B110:B111"/>
    <mergeCell ref="C112:C113"/>
    <mergeCell ref="C81:C82"/>
    <mergeCell ref="A54:B55"/>
    <mergeCell ref="J54:J55"/>
    <mergeCell ref="K54:K55"/>
    <mergeCell ref="E54:E55"/>
    <mergeCell ref="F54:F55"/>
    <mergeCell ref="G54:G55"/>
    <mergeCell ref="H54:H55"/>
    <mergeCell ref="B61:B62"/>
    <mergeCell ref="D61:D62"/>
    <mergeCell ref="D59:D60"/>
    <mergeCell ref="A24:K24"/>
    <mergeCell ref="A97:C97"/>
    <mergeCell ref="D75:D76"/>
    <mergeCell ref="B75:B76"/>
    <mergeCell ref="C54:C55"/>
    <mergeCell ref="C71:C72"/>
    <mergeCell ref="D71:D72"/>
    <mergeCell ref="B71:B72"/>
    <mergeCell ref="C35:C36"/>
    <mergeCell ref="D35:D36"/>
    <mergeCell ref="B27:B28"/>
    <mergeCell ref="B29:B30"/>
    <mergeCell ref="C27:C28"/>
    <mergeCell ref="D27:D28"/>
    <mergeCell ref="C29:C30"/>
    <mergeCell ref="D29:D30"/>
    <mergeCell ref="B59:B60"/>
    <mergeCell ref="A64:K64"/>
    <mergeCell ref="G59:H59"/>
    <mergeCell ref="I59:J59"/>
    <mergeCell ref="B77:B78"/>
    <mergeCell ref="C77:C78"/>
    <mergeCell ref="D77:D78"/>
    <mergeCell ref="A45:K45"/>
    <mergeCell ref="K172:K173"/>
    <mergeCell ref="K174:K175"/>
    <mergeCell ref="K176:K177"/>
    <mergeCell ref="H172:H173"/>
    <mergeCell ref="H174:H175"/>
    <mergeCell ref="H176:H177"/>
    <mergeCell ref="I172:I173"/>
    <mergeCell ref="I174:I175"/>
    <mergeCell ref="I176:I177"/>
    <mergeCell ref="J172:J173"/>
    <mergeCell ref="J174:J175"/>
    <mergeCell ref="J176:J177"/>
  </mergeCells>
  <dataValidations count="5">
    <dataValidation type="list" allowBlank="1" showInputMessage="1" showErrorMessage="1" sqref="A131:A140" xr:uid="{2228F8D3-A2D6-4550-95C0-1A957D7C2607}">
      <formula1>"8 horas/5 dias,24 horas/5 dias,24 horas/7 dias"</formula1>
    </dataValidation>
    <dataValidation type="decimal" allowBlank="1" showInputMessage="1" showErrorMessage="1" errorTitle="Preenchimento errado." error="Somente números positivos." sqref="G87:G101 I87:J101" xr:uid="{00000000-0002-0000-0000-000003000000}">
      <formula1>-10000</formula1>
      <formula2>1000000000</formula2>
    </dataValidation>
    <dataValidation type="list" allowBlank="1" showInputMessage="1" showErrorMessage="1" sqref="C14:C15" xr:uid="{00000000-0002-0000-0000-000004000000}">
      <formula1>" AC, AL, AP, AM, BA, CE, DF, ES, GO, MA, MT, MS, MG, PA, PB, PR, PE, PI, RJ, RN, RS, RO, RR, SC, SP, SE, TO"</formula1>
    </dataValidation>
    <dataValidation operator="greaterThanOrEqual" allowBlank="1" showInputMessage="1" showErrorMessage="1" errorTitle="Preenchimento errado" error="Deve ser preenchido somente o número de horas mensais." sqref="B141" xr:uid="{489C6CC7-CF12-44B4-8BF3-07F89941209E}"/>
    <dataValidation type="whole" allowBlank="1" showInputMessage="1" showErrorMessage="1" sqref="C131:C141" xr:uid="{0A063459-7AB8-472E-B7E0-85D1E277DE78}">
      <formula1>0</formula1>
      <formula2>1000000000</formula2>
    </dataValidation>
  </dataValidations>
  <pageMargins left="0.78740157480314965" right="0" top="0.78740157480314965" bottom="0" header="0" footer="0"/>
  <pageSetup paperSize="5" scale="27" orientation="portrait" horizontalDpi="4294967293" verticalDpi="4294967293" r:id="rId1"/>
  <ignoredErrors>
    <ignoredError sqref="E148 D152:E152 C116 E48 E49:E53 H48:H53 C19" unlockedFormula="1"/>
    <ignoredError sqref="E14" 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A4AE80-CD4B-421C-B3A4-C99C2D543AE4}">
          <x14:formula1>
            <xm:f>Dados!$W$99:$W$101</xm:f>
          </x14:formula1>
          <xm:sqref>B131:B140</xm:sqref>
        </x14:dataValidation>
        <x14:dataValidation type="list" allowBlank="1" showInputMessage="1" showErrorMessage="1" xr:uid="{C20B8A5F-42A5-4FE9-920C-D99C84F4874B}">
          <x14:formula1>
            <xm:f>Dados!$K$98:$O$98</xm:f>
          </x14:formula1>
          <xm:sqref>D87:D101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Y123"/>
  <sheetViews>
    <sheetView workbookViewId="0">
      <selection activeCell="D7" sqref="D7:Q8"/>
    </sheetView>
  </sheetViews>
  <sheetFormatPr defaultColWidth="9.44140625" defaultRowHeight="14.4" x14ac:dyDescent="0.3"/>
  <cols>
    <col min="1" max="8" width="9.44140625" style="41"/>
    <col min="9" max="9" width="7.44140625" style="41" customWidth="1"/>
    <col min="10" max="10" width="16.44140625" style="41" customWidth="1"/>
    <col min="11" max="11" width="16" style="41" customWidth="1"/>
    <col min="12" max="12" width="11.44140625" style="41" customWidth="1"/>
    <col min="13" max="13" width="13.44140625" style="41" bestFit="1" customWidth="1"/>
    <col min="14" max="14" width="12.5546875" style="41" customWidth="1"/>
    <col min="15" max="15" width="11.44140625" style="41" customWidth="1"/>
    <col min="16" max="16384" width="9.44140625" style="41"/>
  </cols>
  <sheetData>
    <row r="1" spans="1:20" ht="15" customHeight="1" x14ac:dyDescent="0.3">
      <c r="A1" s="420" t="s">
        <v>120</v>
      </c>
      <c r="B1" s="420"/>
      <c r="C1" s="420"/>
      <c r="D1" s="420"/>
      <c r="E1" s="420"/>
      <c r="F1" s="420"/>
      <c r="G1" s="420"/>
      <c r="H1" s="420"/>
      <c r="I1" s="420"/>
      <c r="J1" s="420"/>
      <c r="K1" s="420"/>
      <c r="L1" s="420"/>
      <c r="M1" s="420"/>
      <c r="N1" s="420"/>
      <c r="O1" s="420"/>
      <c r="P1" s="420"/>
      <c r="Q1" s="420"/>
      <c r="R1" s="420"/>
      <c r="S1" s="420"/>
      <c r="T1" s="420"/>
    </row>
    <row r="2" spans="1:20" ht="15" customHeight="1" x14ac:dyDescent="0.3">
      <c r="A2" s="420"/>
      <c r="B2" s="420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</row>
    <row r="3" spans="1:20" ht="15" customHeight="1" x14ac:dyDescent="0.3">
      <c r="A3" s="420"/>
      <c r="B3" s="420"/>
      <c r="C3" s="420"/>
      <c r="D3" s="420"/>
      <c r="E3" s="420"/>
      <c r="F3" s="420"/>
      <c r="G3" s="420"/>
      <c r="H3" s="420"/>
      <c r="I3" s="420"/>
      <c r="J3" s="420"/>
      <c r="K3" s="420"/>
      <c r="L3" s="420"/>
      <c r="M3" s="420"/>
      <c r="N3" s="420"/>
      <c r="O3" s="420"/>
      <c r="P3" s="420"/>
      <c r="Q3" s="420"/>
      <c r="R3" s="420"/>
      <c r="S3" s="420"/>
      <c r="T3" s="420"/>
    </row>
    <row r="4" spans="1:20" ht="15" customHeight="1" x14ac:dyDescent="0.3">
      <c r="A4" s="420"/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</row>
    <row r="5" spans="1:20" ht="41.25" customHeigh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spans="1:20" ht="15" thickBot="1" x14ac:dyDescent="0.3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</row>
    <row r="7" spans="1:20" ht="15" customHeight="1" x14ac:dyDescent="0.3">
      <c r="A7" s="42"/>
      <c r="B7" s="42"/>
      <c r="C7" s="42"/>
      <c r="D7" s="421" t="s">
        <v>121</v>
      </c>
      <c r="E7" s="422"/>
      <c r="F7" s="422"/>
      <c r="G7" s="422"/>
      <c r="H7" s="422"/>
      <c r="I7" s="422"/>
      <c r="J7" s="422"/>
      <c r="K7" s="422"/>
      <c r="L7" s="422"/>
      <c r="M7" s="422"/>
      <c r="N7" s="422"/>
      <c r="O7" s="422"/>
      <c r="P7" s="422"/>
      <c r="Q7" s="423"/>
      <c r="R7" s="42"/>
      <c r="S7" s="42"/>
      <c r="T7" s="42"/>
    </row>
    <row r="8" spans="1:20" ht="15.75" customHeight="1" thickBot="1" x14ac:dyDescent="0.35">
      <c r="A8" s="42"/>
      <c r="B8" s="42"/>
      <c r="C8" s="42"/>
      <c r="D8" s="424"/>
      <c r="E8" s="425"/>
      <c r="F8" s="425"/>
      <c r="G8" s="425"/>
      <c r="H8" s="425"/>
      <c r="I8" s="425"/>
      <c r="J8" s="425"/>
      <c r="K8" s="425"/>
      <c r="L8" s="425"/>
      <c r="M8" s="425"/>
      <c r="N8" s="425"/>
      <c r="O8" s="425"/>
      <c r="P8" s="425"/>
      <c r="Q8" s="426"/>
      <c r="R8" s="42"/>
      <c r="S8" s="42"/>
      <c r="T8" s="42"/>
    </row>
    <row r="9" spans="1:20" ht="15.75" customHeight="1" thickBot="1" x14ac:dyDescent="0.35">
      <c r="A9" s="42"/>
      <c r="B9" s="42"/>
      <c r="C9" s="42"/>
      <c r="D9" s="389"/>
      <c r="E9" s="389"/>
      <c r="F9" s="389"/>
      <c r="G9" s="389"/>
      <c r="H9" s="389"/>
      <c r="I9" s="389"/>
      <c r="J9" s="362" t="s">
        <v>103</v>
      </c>
      <c r="K9" s="364"/>
      <c r="L9" s="362" t="s">
        <v>104</v>
      </c>
      <c r="M9" s="364"/>
      <c r="N9" s="390" t="s">
        <v>105</v>
      </c>
      <c r="O9" s="371"/>
      <c r="P9" s="362" t="s">
        <v>106</v>
      </c>
      <c r="Q9" s="364"/>
      <c r="R9" s="42"/>
      <c r="S9" s="42"/>
      <c r="T9" s="42"/>
    </row>
    <row r="10" spans="1:20" ht="31.8" thickBot="1" x14ac:dyDescent="0.35">
      <c r="A10" s="42"/>
      <c r="B10" s="42"/>
      <c r="C10" s="42"/>
      <c r="D10" s="389" t="s">
        <v>6</v>
      </c>
      <c r="E10" s="389"/>
      <c r="F10" s="389"/>
      <c r="G10" s="389"/>
      <c r="H10" s="389"/>
      <c r="I10" s="389"/>
      <c r="J10" s="75" t="s">
        <v>122</v>
      </c>
      <c r="K10" s="74" t="s">
        <v>123</v>
      </c>
      <c r="L10" s="75" t="s">
        <v>122</v>
      </c>
      <c r="M10" s="76" t="s">
        <v>124</v>
      </c>
      <c r="N10" s="75" t="s">
        <v>122</v>
      </c>
      <c r="O10" s="76" t="s">
        <v>124</v>
      </c>
      <c r="P10" s="75" t="s">
        <v>122</v>
      </c>
      <c r="Q10" s="77" t="s">
        <v>124</v>
      </c>
      <c r="R10" s="42"/>
      <c r="S10" s="42"/>
      <c r="T10" s="42"/>
    </row>
    <row r="11" spans="1:20" ht="16.2" thickBot="1" x14ac:dyDescent="0.35">
      <c r="A11" s="42"/>
      <c r="B11" s="42"/>
      <c r="C11" s="42"/>
      <c r="D11" s="412" t="s">
        <v>16</v>
      </c>
      <c r="E11" s="413"/>
      <c r="F11" s="413"/>
      <c r="G11" s="413"/>
      <c r="H11" s="413"/>
      <c r="I11" s="414"/>
      <c r="J11" s="79">
        <v>0.18</v>
      </c>
      <c r="K11" s="78">
        <v>0.04</v>
      </c>
      <c r="L11" s="79">
        <v>1.6500000000000001E-2</v>
      </c>
      <c r="M11" s="79">
        <v>1.6500000000000001E-2</v>
      </c>
      <c r="N11" s="79">
        <v>7.5999999999999998E-2</v>
      </c>
      <c r="O11" s="79">
        <v>7.5999999999999998E-2</v>
      </c>
      <c r="P11" s="79">
        <v>0</v>
      </c>
      <c r="Q11" s="79">
        <v>0</v>
      </c>
      <c r="R11" s="42"/>
      <c r="S11" s="42"/>
      <c r="T11" s="42"/>
    </row>
    <row r="12" spans="1:20" ht="16.2" thickBot="1" x14ac:dyDescent="0.35">
      <c r="A12" s="42"/>
      <c r="B12" s="42"/>
      <c r="C12" s="42"/>
      <c r="D12" s="412" t="s">
        <v>17</v>
      </c>
      <c r="E12" s="413"/>
      <c r="F12" s="413"/>
      <c r="G12" s="413"/>
      <c r="H12" s="413"/>
      <c r="I12" s="414"/>
      <c r="J12" s="79">
        <v>0.18</v>
      </c>
      <c r="K12" s="78">
        <v>0.04</v>
      </c>
      <c r="L12" s="79">
        <v>1.6500000000000001E-2</v>
      </c>
      <c r="M12" s="79">
        <v>1.6500000000000001E-2</v>
      </c>
      <c r="N12" s="79">
        <v>7.5999999999999998E-2</v>
      </c>
      <c r="O12" s="79">
        <v>7.5999999999999998E-2</v>
      </c>
      <c r="P12" s="79">
        <v>0</v>
      </c>
      <c r="Q12" s="79">
        <v>0</v>
      </c>
      <c r="R12" s="42"/>
      <c r="S12" s="42"/>
      <c r="T12" s="42"/>
    </row>
    <row r="13" spans="1:20" ht="16.2" thickBot="1" x14ac:dyDescent="0.35">
      <c r="A13" s="42"/>
      <c r="B13" s="42"/>
      <c r="C13" s="42"/>
      <c r="D13" s="412" t="s">
        <v>125</v>
      </c>
      <c r="E13" s="413"/>
      <c r="F13" s="413"/>
      <c r="G13" s="413"/>
      <c r="H13" s="413"/>
      <c r="I13" s="414"/>
      <c r="J13" s="79">
        <v>0</v>
      </c>
      <c r="K13" s="78">
        <v>0</v>
      </c>
      <c r="L13" s="79">
        <v>6.4999999999999997E-3</v>
      </c>
      <c r="M13" s="79">
        <v>6.4999999999999997E-3</v>
      </c>
      <c r="N13" s="79">
        <v>0.03</v>
      </c>
      <c r="O13" s="79">
        <v>0.03</v>
      </c>
      <c r="P13" s="79">
        <v>2.9000000000000001E-2</v>
      </c>
      <c r="Q13" s="79">
        <v>2.9000000000000001E-2</v>
      </c>
      <c r="R13" s="42"/>
      <c r="S13" s="42"/>
      <c r="T13" s="42"/>
    </row>
    <row r="14" spans="1:20" ht="16.2" thickBot="1" x14ac:dyDescent="0.35">
      <c r="A14" s="42"/>
      <c r="B14" s="42"/>
      <c r="C14" s="42"/>
      <c r="D14" s="412" t="s">
        <v>19</v>
      </c>
      <c r="E14" s="413"/>
      <c r="F14" s="413"/>
      <c r="G14" s="413"/>
      <c r="H14" s="413"/>
      <c r="I14" s="414"/>
      <c r="J14" s="79">
        <v>0</v>
      </c>
      <c r="K14" s="78">
        <v>0</v>
      </c>
      <c r="L14" s="79">
        <v>1.6500000000000001E-2</v>
      </c>
      <c r="M14" s="79">
        <v>1.6500000000000001E-2</v>
      </c>
      <c r="N14" s="79">
        <v>7.5999999999999998E-2</v>
      </c>
      <c r="O14" s="79">
        <v>7.5999999999999998E-2</v>
      </c>
      <c r="P14" s="79">
        <v>0.05</v>
      </c>
      <c r="Q14" s="79">
        <v>0.05</v>
      </c>
      <c r="R14" s="42"/>
      <c r="S14" s="42"/>
      <c r="T14" s="42"/>
    </row>
    <row r="15" spans="1:20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</row>
    <row r="16" spans="1:20" ht="15" thickBot="1" x14ac:dyDescent="0.3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</row>
    <row r="17" spans="1:20" ht="18" customHeight="1" x14ac:dyDescent="0.3">
      <c r="A17" s="42"/>
      <c r="B17" s="42"/>
      <c r="C17" s="42"/>
      <c r="D17" s="392" t="s">
        <v>126</v>
      </c>
      <c r="E17" s="393"/>
      <c r="F17" s="393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4"/>
      <c r="R17" s="42"/>
      <c r="S17" s="42"/>
      <c r="T17" s="42"/>
    </row>
    <row r="18" spans="1:20" ht="18" customHeight="1" thickBot="1" x14ac:dyDescent="0.35">
      <c r="A18" s="42"/>
      <c r="B18" s="42"/>
      <c r="C18" s="42"/>
      <c r="D18" s="395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7"/>
      <c r="R18" s="42"/>
      <c r="S18" s="42"/>
      <c r="T18" s="42"/>
    </row>
    <row r="19" spans="1:20" ht="18" customHeight="1" thickBot="1" x14ac:dyDescent="0.35">
      <c r="A19" s="42"/>
      <c r="B19" s="42"/>
      <c r="C19" s="42"/>
      <c r="D19" s="362" t="s">
        <v>127</v>
      </c>
      <c r="E19" s="363"/>
      <c r="F19" s="363"/>
      <c r="G19" s="363"/>
      <c r="H19" s="363"/>
      <c r="I19" s="364"/>
      <c r="J19" s="391" t="s">
        <v>128</v>
      </c>
      <c r="K19" s="391"/>
      <c r="L19" s="362" t="s">
        <v>129</v>
      </c>
      <c r="M19" s="364"/>
      <c r="N19" s="379" t="s">
        <v>130</v>
      </c>
      <c r="O19" s="380"/>
      <c r="P19" s="391" t="s">
        <v>131</v>
      </c>
      <c r="Q19" s="391"/>
      <c r="R19" s="42"/>
      <c r="S19" s="42"/>
      <c r="T19" s="42"/>
    </row>
    <row r="20" spans="1:20" ht="18" customHeight="1" thickBot="1" x14ac:dyDescent="0.35">
      <c r="A20" s="42"/>
      <c r="B20" s="42"/>
      <c r="C20" s="42"/>
      <c r="D20" s="352" t="s">
        <v>132</v>
      </c>
      <c r="E20" s="353"/>
      <c r="F20" s="353"/>
      <c r="G20" s="353"/>
      <c r="H20" s="353"/>
      <c r="I20" s="354"/>
      <c r="J20" s="355">
        <v>2</v>
      </c>
      <c r="K20" s="356"/>
      <c r="L20" s="387">
        <v>11750</v>
      </c>
      <c r="M20" s="388"/>
      <c r="N20" s="384">
        <v>1</v>
      </c>
      <c r="O20" s="385"/>
      <c r="P20" s="350">
        <f>J20*L20*N20</f>
        <v>23500</v>
      </c>
      <c r="Q20" s="351"/>
      <c r="R20" s="42"/>
      <c r="S20" s="42"/>
      <c r="T20" s="42"/>
    </row>
    <row r="21" spans="1:20" ht="18" customHeight="1" thickBot="1" x14ac:dyDescent="0.35">
      <c r="A21" s="42"/>
      <c r="B21" s="42"/>
      <c r="C21" s="42"/>
      <c r="D21" s="352" t="s">
        <v>133</v>
      </c>
      <c r="E21" s="353"/>
      <c r="F21" s="353"/>
      <c r="G21" s="353"/>
      <c r="H21" s="353"/>
      <c r="I21" s="354"/>
      <c r="J21" s="355">
        <v>2</v>
      </c>
      <c r="K21" s="356"/>
      <c r="L21" s="387">
        <v>3196</v>
      </c>
      <c r="M21" s="388"/>
      <c r="N21" s="384">
        <v>1.85</v>
      </c>
      <c r="O21" s="385"/>
      <c r="P21" s="350">
        <f>J21*L21*N21</f>
        <v>11825.2</v>
      </c>
      <c r="Q21" s="351"/>
      <c r="R21" s="42"/>
      <c r="S21" s="42"/>
      <c r="T21" s="42"/>
    </row>
    <row r="22" spans="1:20" ht="18" customHeight="1" thickBot="1" x14ac:dyDescent="0.35">
      <c r="A22" s="42"/>
      <c r="B22" s="42"/>
      <c r="C22" s="42"/>
      <c r="D22" s="352" t="s">
        <v>134</v>
      </c>
      <c r="E22" s="353"/>
      <c r="F22" s="353"/>
      <c r="G22" s="353"/>
      <c r="H22" s="353"/>
      <c r="I22" s="354"/>
      <c r="J22" s="355">
        <v>2</v>
      </c>
      <c r="K22" s="356"/>
      <c r="L22" s="387">
        <v>1048</v>
      </c>
      <c r="M22" s="388"/>
      <c r="N22" s="384">
        <v>1</v>
      </c>
      <c r="O22" s="385"/>
      <c r="P22" s="350">
        <f>J22*L22*N22</f>
        <v>2096</v>
      </c>
      <c r="Q22" s="351"/>
      <c r="R22" s="42"/>
      <c r="S22" s="42"/>
      <c r="T22" s="42"/>
    </row>
    <row r="23" spans="1:20" ht="18" customHeight="1" thickBot="1" x14ac:dyDescent="0.35">
      <c r="A23" s="42"/>
      <c r="B23" s="42"/>
      <c r="C23" s="42"/>
      <c r="D23" s="352"/>
      <c r="E23" s="353"/>
      <c r="F23" s="353"/>
      <c r="G23" s="353"/>
      <c r="H23" s="353"/>
      <c r="I23" s="354"/>
      <c r="J23" s="355"/>
      <c r="K23" s="356"/>
      <c r="L23" s="387"/>
      <c r="M23" s="388"/>
      <c r="N23" s="384"/>
      <c r="O23" s="385"/>
      <c r="P23" s="350">
        <f t="shared" ref="P23:P24" si="0">J23*L23*N23</f>
        <v>0</v>
      </c>
      <c r="Q23" s="351"/>
      <c r="R23" s="42"/>
      <c r="S23" s="42"/>
      <c r="T23" s="42"/>
    </row>
    <row r="24" spans="1:20" ht="18" customHeight="1" thickBot="1" x14ac:dyDescent="0.35">
      <c r="A24" s="42"/>
      <c r="B24" s="42"/>
      <c r="C24" s="42"/>
      <c r="D24" s="352"/>
      <c r="E24" s="353"/>
      <c r="F24" s="353"/>
      <c r="G24" s="353"/>
      <c r="H24" s="353"/>
      <c r="I24" s="354"/>
      <c r="J24" s="355"/>
      <c r="K24" s="356"/>
      <c r="L24" s="387"/>
      <c r="M24" s="388"/>
      <c r="N24" s="384"/>
      <c r="O24" s="385"/>
      <c r="P24" s="350">
        <f t="shared" si="0"/>
        <v>0</v>
      </c>
      <c r="Q24" s="351"/>
      <c r="R24" s="42"/>
      <c r="S24" s="42"/>
      <c r="T24" s="42"/>
    </row>
    <row r="25" spans="1:20" ht="18" customHeight="1" thickBot="1" x14ac:dyDescent="0.35">
      <c r="A25" s="42"/>
      <c r="B25" s="42"/>
      <c r="C25" s="42"/>
      <c r="D25" s="391" t="s">
        <v>135</v>
      </c>
      <c r="E25" s="391"/>
      <c r="F25" s="391"/>
      <c r="G25" s="391"/>
      <c r="H25" s="391"/>
      <c r="I25" s="391"/>
      <c r="J25" s="391" t="s">
        <v>128</v>
      </c>
      <c r="K25" s="391"/>
      <c r="L25" s="362" t="s">
        <v>129</v>
      </c>
      <c r="M25" s="364"/>
      <c r="N25" s="379" t="s">
        <v>130</v>
      </c>
      <c r="O25" s="380"/>
      <c r="P25" s="391" t="s">
        <v>131</v>
      </c>
      <c r="Q25" s="391"/>
      <c r="R25" s="42"/>
      <c r="S25" s="42"/>
      <c r="T25" s="42"/>
    </row>
    <row r="26" spans="1:20" ht="18" customHeight="1" thickBot="1" x14ac:dyDescent="0.35">
      <c r="A26" s="42"/>
      <c r="B26" s="42"/>
      <c r="C26" s="42"/>
      <c r="D26" s="352" t="s">
        <v>136</v>
      </c>
      <c r="E26" s="353"/>
      <c r="F26" s="353"/>
      <c r="G26" s="353"/>
      <c r="H26" s="353"/>
      <c r="I26" s="354"/>
      <c r="J26" s="355">
        <v>1</v>
      </c>
      <c r="K26" s="356"/>
      <c r="L26" s="387">
        <v>8000</v>
      </c>
      <c r="M26" s="388"/>
      <c r="N26" s="384">
        <v>1</v>
      </c>
      <c r="O26" s="385"/>
      <c r="P26" s="350">
        <f>J26*L26*N26</f>
        <v>8000</v>
      </c>
      <c r="Q26" s="351"/>
      <c r="R26" s="42"/>
      <c r="S26" s="42"/>
      <c r="T26" s="42"/>
    </row>
    <row r="27" spans="1:20" ht="18" customHeight="1" thickBot="1" x14ac:dyDescent="0.35">
      <c r="A27" s="42"/>
      <c r="B27" s="42"/>
      <c r="C27" s="42"/>
      <c r="D27" s="352"/>
      <c r="E27" s="353"/>
      <c r="F27" s="353"/>
      <c r="G27" s="353"/>
      <c r="H27" s="353"/>
      <c r="I27" s="354"/>
      <c r="J27" s="355"/>
      <c r="K27" s="356"/>
      <c r="L27" s="387"/>
      <c r="M27" s="388"/>
      <c r="N27" s="384"/>
      <c r="O27" s="385"/>
      <c r="P27" s="350">
        <f>J27*L27*N27</f>
        <v>0</v>
      </c>
      <c r="Q27" s="351"/>
      <c r="R27" s="42"/>
      <c r="S27" s="42"/>
      <c r="T27" s="42"/>
    </row>
    <row r="28" spans="1:20" ht="18" customHeight="1" thickBot="1" x14ac:dyDescent="0.35">
      <c r="A28" s="42"/>
      <c r="B28" s="42"/>
      <c r="C28" s="42"/>
      <c r="D28" s="391" t="s">
        <v>137</v>
      </c>
      <c r="E28" s="391"/>
      <c r="F28" s="391"/>
      <c r="G28" s="391"/>
      <c r="H28" s="391"/>
      <c r="I28" s="391"/>
      <c r="J28" s="362" t="s">
        <v>138</v>
      </c>
      <c r="K28" s="363"/>
      <c r="L28" s="363"/>
      <c r="M28" s="364"/>
      <c r="N28" s="390" t="s">
        <v>128</v>
      </c>
      <c r="O28" s="371"/>
      <c r="P28" s="391" t="s">
        <v>131</v>
      </c>
      <c r="Q28" s="391"/>
      <c r="R28" s="42"/>
      <c r="S28" s="42"/>
      <c r="T28" s="42"/>
    </row>
    <row r="29" spans="1:20" ht="18" customHeight="1" thickBot="1" x14ac:dyDescent="0.35">
      <c r="A29" s="42"/>
      <c r="B29" s="42"/>
      <c r="C29" s="42"/>
      <c r="D29" s="352" t="s">
        <v>139</v>
      </c>
      <c r="E29" s="353"/>
      <c r="F29" s="353"/>
      <c r="G29" s="353"/>
      <c r="H29" s="353"/>
      <c r="I29" s="354"/>
      <c r="J29" s="381">
        <v>2696</v>
      </c>
      <c r="K29" s="382"/>
      <c r="L29" s="382"/>
      <c r="M29" s="383"/>
      <c r="N29" s="384">
        <v>1</v>
      </c>
      <c r="O29" s="385"/>
      <c r="P29" s="350">
        <f>J29*N29</f>
        <v>2696</v>
      </c>
      <c r="Q29" s="351"/>
      <c r="R29" s="42"/>
      <c r="S29" s="42"/>
      <c r="T29" s="42"/>
    </row>
    <row r="30" spans="1:20" ht="18" customHeight="1" thickBot="1" x14ac:dyDescent="0.35">
      <c r="A30" s="42"/>
      <c r="B30" s="42"/>
      <c r="C30" s="42"/>
      <c r="D30" s="352" t="s">
        <v>140</v>
      </c>
      <c r="E30" s="353"/>
      <c r="F30" s="353"/>
      <c r="G30" s="353"/>
      <c r="H30" s="353"/>
      <c r="I30" s="354"/>
      <c r="J30" s="355"/>
      <c r="K30" s="386"/>
      <c r="L30" s="386"/>
      <c r="M30" s="356"/>
      <c r="N30" s="384"/>
      <c r="O30" s="385"/>
      <c r="P30" s="350">
        <f t="shared" ref="P30:P31" si="1">J30*N30</f>
        <v>0</v>
      </c>
      <c r="Q30" s="351"/>
      <c r="R30" s="42"/>
      <c r="S30" s="42"/>
      <c r="T30" s="42"/>
    </row>
    <row r="31" spans="1:20" ht="18" customHeight="1" thickBot="1" x14ac:dyDescent="0.35">
      <c r="A31" s="42"/>
      <c r="B31" s="42"/>
      <c r="C31" s="42"/>
      <c r="D31" s="352"/>
      <c r="E31" s="353"/>
      <c r="F31" s="353"/>
      <c r="G31" s="353"/>
      <c r="H31" s="353"/>
      <c r="I31" s="354"/>
      <c r="J31" s="355"/>
      <c r="K31" s="386"/>
      <c r="L31" s="386"/>
      <c r="M31" s="356"/>
      <c r="N31" s="384"/>
      <c r="O31" s="385"/>
      <c r="P31" s="350">
        <f t="shared" si="1"/>
        <v>0</v>
      </c>
      <c r="Q31" s="351"/>
      <c r="R31" s="42"/>
      <c r="S31" s="42"/>
      <c r="T31" s="42"/>
    </row>
    <row r="32" spans="1:20" ht="18" customHeight="1" thickBot="1" x14ac:dyDescent="0.35">
      <c r="A32" s="42"/>
      <c r="B32" s="42"/>
      <c r="C32" s="42"/>
      <c r="D32" s="375" t="s">
        <v>141</v>
      </c>
      <c r="E32" s="376"/>
      <c r="F32" s="376"/>
      <c r="G32" s="376"/>
      <c r="H32" s="376"/>
      <c r="I32" s="376"/>
      <c r="J32" s="376"/>
      <c r="K32" s="376"/>
      <c r="L32" s="376"/>
      <c r="M32" s="377"/>
      <c r="N32" s="401">
        <f>SUM(P20:Q24)+SUM(P26:Q27)+SUM(P29:Q31)</f>
        <v>48117.2</v>
      </c>
      <c r="O32" s="402"/>
      <c r="P32" s="402"/>
      <c r="Q32" s="339"/>
      <c r="R32" s="42"/>
      <c r="S32" s="42"/>
      <c r="T32" s="42"/>
    </row>
    <row r="33" spans="1:20" ht="18" customHeight="1" thickBot="1" x14ac:dyDescent="0.35">
      <c r="A33" s="42"/>
      <c r="B33" s="42"/>
      <c r="C33" s="42"/>
      <c r="D33" s="372" t="s">
        <v>142</v>
      </c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73"/>
      <c r="P33" s="373"/>
      <c r="Q33" s="374"/>
      <c r="R33" s="42"/>
      <c r="S33" s="42"/>
      <c r="T33" s="42"/>
    </row>
    <row r="34" spans="1:20" ht="18" customHeight="1" thickBot="1" x14ac:dyDescent="0.35">
      <c r="A34" s="42"/>
      <c r="B34" s="42"/>
      <c r="C34" s="42"/>
      <c r="D34" s="362" t="s">
        <v>127</v>
      </c>
      <c r="E34" s="363"/>
      <c r="F34" s="363"/>
      <c r="G34" s="363"/>
      <c r="H34" s="363"/>
      <c r="I34" s="364"/>
      <c r="J34" s="362" t="s">
        <v>128</v>
      </c>
      <c r="K34" s="364"/>
      <c r="L34" s="409" t="s">
        <v>143</v>
      </c>
      <c r="M34" s="410"/>
      <c r="N34" s="410"/>
      <c r="O34" s="411"/>
      <c r="P34" s="379" t="s">
        <v>144</v>
      </c>
      <c r="Q34" s="380"/>
      <c r="R34" s="42"/>
      <c r="S34" s="42"/>
      <c r="T34" s="42"/>
    </row>
    <row r="35" spans="1:20" ht="18" customHeight="1" thickBot="1" x14ac:dyDescent="0.35">
      <c r="A35" s="42"/>
      <c r="B35" s="42"/>
      <c r="C35" s="42"/>
      <c r="D35" s="352" t="s">
        <v>145</v>
      </c>
      <c r="E35" s="353"/>
      <c r="F35" s="353"/>
      <c r="G35" s="353"/>
      <c r="H35" s="353"/>
      <c r="I35" s="354"/>
      <c r="J35" s="355">
        <v>2</v>
      </c>
      <c r="K35" s="356"/>
      <c r="L35" s="357">
        <v>176</v>
      </c>
      <c r="M35" s="358"/>
      <c r="N35" s="358"/>
      <c r="O35" s="359"/>
      <c r="P35" s="360">
        <f>J35*L35</f>
        <v>352</v>
      </c>
      <c r="Q35" s="361"/>
      <c r="R35" s="42"/>
      <c r="S35" s="42"/>
      <c r="T35" s="42"/>
    </row>
    <row r="36" spans="1:20" ht="18" customHeight="1" thickBot="1" x14ac:dyDescent="0.35">
      <c r="A36" s="42"/>
      <c r="B36" s="42"/>
      <c r="C36" s="42"/>
      <c r="D36" s="352" t="s">
        <v>133</v>
      </c>
      <c r="E36" s="353"/>
      <c r="F36" s="353"/>
      <c r="G36" s="353"/>
      <c r="H36" s="353"/>
      <c r="I36" s="354"/>
      <c r="J36" s="355">
        <v>2</v>
      </c>
      <c r="K36" s="356"/>
      <c r="L36" s="357">
        <v>176</v>
      </c>
      <c r="M36" s="358"/>
      <c r="N36" s="358"/>
      <c r="O36" s="359"/>
      <c r="P36" s="360">
        <f>J36*L36</f>
        <v>352</v>
      </c>
      <c r="Q36" s="361"/>
      <c r="R36" s="42"/>
      <c r="S36" s="42"/>
      <c r="T36" s="42"/>
    </row>
    <row r="37" spans="1:20" ht="18" customHeight="1" thickBot="1" x14ac:dyDescent="0.35">
      <c r="A37" s="42"/>
      <c r="B37" s="42"/>
      <c r="C37" s="42"/>
      <c r="D37" s="352" t="s">
        <v>134</v>
      </c>
      <c r="E37" s="353"/>
      <c r="F37" s="353"/>
      <c r="G37" s="353"/>
      <c r="H37" s="353"/>
      <c r="I37" s="354"/>
      <c r="J37" s="355">
        <v>1</v>
      </c>
      <c r="K37" s="356"/>
      <c r="L37" s="357">
        <v>132</v>
      </c>
      <c r="M37" s="358"/>
      <c r="N37" s="358"/>
      <c r="O37" s="359"/>
      <c r="P37" s="360">
        <f>J37*L37</f>
        <v>132</v>
      </c>
      <c r="Q37" s="361"/>
      <c r="R37" s="42"/>
      <c r="S37" s="42"/>
      <c r="T37" s="42"/>
    </row>
    <row r="38" spans="1:20" ht="18" customHeight="1" thickBot="1" x14ac:dyDescent="0.35">
      <c r="A38" s="42"/>
      <c r="B38" s="42"/>
      <c r="C38" s="42"/>
      <c r="D38" s="352"/>
      <c r="E38" s="353"/>
      <c r="F38" s="353"/>
      <c r="G38" s="353"/>
      <c r="H38" s="353"/>
      <c r="I38" s="354"/>
      <c r="J38" s="355"/>
      <c r="K38" s="356"/>
      <c r="L38" s="357"/>
      <c r="M38" s="358"/>
      <c r="N38" s="358"/>
      <c r="O38" s="359"/>
      <c r="P38" s="360">
        <f>J38*L38</f>
        <v>0</v>
      </c>
      <c r="Q38" s="361"/>
      <c r="R38" s="42"/>
      <c r="S38" s="42"/>
      <c r="T38" s="42"/>
    </row>
    <row r="39" spans="1:20" ht="18" customHeight="1" thickBot="1" x14ac:dyDescent="0.35">
      <c r="A39" s="42"/>
      <c r="B39" s="42"/>
      <c r="C39" s="42"/>
      <c r="D39" s="352"/>
      <c r="E39" s="353"/>
      <c r="F39" s="353"/>
      <c r="G39" s="353"/>
      <c r="H39" s="353"/>
      <c r="I39" s="354"/>
      <c r="J39" s="355"/>
      <c r="K39" s="356"/>
      <c r="L39" s="357"/>
      <c r="M39" s="358"/>
      <c r="N39" s="358"/>
      <c r="O39" s="359"/>
      <c r="P39" s="360">
        <f>J39*L39</f>
        <v>0</v>
      </c>
      <c r="Q39" s="361"/>
      <c r="R39" s="42"/>
      <c r="S39" s="42"/>
      <c r="T39" s="42"/>
    </row>
    <row r="40" spans="1:20" ht="18" customHeight="1" thickBot="1" x14ac:dyDescent="0.35">
      <c r="A40" s="42"/>
      <c r="B40" s="42"/>
      <c r="C40" s="42"/>
      <c r="D40" s="375" t="s">
        <v>146</v>
      </c>
      <c r="E40" s="376"/>
      <c r="F40" s="376"/>
      <c r="G40" s="376"/>
      <c r="H40" s="376"/>
      <c r="I40" s="376"/>
      <c r="J40" s="376"/>
      <c r="K40" s="376"/>
      <c r="L40" s="376"/>
      <c r="M40" s="377"/>
      <c r="N40" s="398">
        <f>SUM(P35:Q39)</f>
        <v>836</v>
      </c>
      <c r="O40" s="399"/>
      <c r="P40" s="399"/>
      <c r="Q40" s="400"/>
      <c r="R40" s="42"/>
      <c r="S40" s="42"/>
      <c r="T40" s="42"/>
    </row>
    <row r="41" spans="1:20" ht="18" customHeight="1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</row>
    <row r="42" spans="1:20" ht="18" customHeight="1" thickBot="1" x14ac:dyDescent="0.3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</row>
    <row r="43" spans="1:20" ht="18" customHeight="1" x14ac:dyDescent="0.3">
      <c r="A43" s="42"/>
      <c r="B43" s="42"/>
      <c r="C43" s="42"/>
      <c r="D43" s="392" t="s">
        <v>147</v>
      </c>
      <c r="E43" s="393"/>
      <c r="F43" s="393"/>
      <c r="G43" s="393"/>
      <c r="H43" s="393"/>
      <c r="I43" s="393"/>
      <c r="J43" s="393"/>
      <c r="K43" s="393"/>
      <c r="L43" s="393"/>
      <c r="M43" s="393"/>
      <c r="N43" s="393"/>
      <c r="O43" s="393"/>
      <c r="P43" s="393"/>
      <c r="Q43" s="394"/>
      <c r="R43" s="42"/>
      <c r="S43" s="42"/>
      <c r="T43" s="42"/>
    </row>
    <row r="44" spans="1:20" ht="18" customHeight="1" thickBot="1" x14ac:dyDescent="0.35">
      <c r="A44" s="42"/>
      <c r="B44" s="42"/>
      <c r="C44" s="42"/>
      <c r="D44" s="395"/>
      <c r="E44" s="396"/>
      <c r="F44" s="396"/>
      <c r="G44" s="396"/>
      <c r="H44" s="396"/>
      <c r="I44" s="396"/>
      <c r="J44" s="396"/>
      <c r="K44" s="396"/>
      <c r="L44" s="396"/>
      <c r="M44" s="396"/>
      <c r="N44" s="396"/>
      <c r="O44" s="396"/>
      <c r="P44" s="396"/>
      <c r="Q44" s="397"/>
      <c r="R44" s="42"/>
      <c r="S44" s="42"/>
      <c r="T44" s="42"/>
    </row>
    <row r="45" spans="1:20" ht="18" customHeight="1" thickBot="1" x14ac:dyDescent="0.35">
      <c r="A45" s="42"/>
      <c r="B45" s="42"/>
      <c r="C45" s="42"/>
      <c r="D45" s="391" t="s">
        <v>127</v>
      </c>
      <c r="E45" s="391"/>
      <c r="F45" s="391"/>
      <c r="G45" s="391"/>
      <c r="H45" s="391"/>
      <c r="I45" s="391"/>
      <c r="J45" s="391" t="s">
        <v>128</v>
      </c>
      <c r="K45" s="391"/>
      <c r="L45" s="362" t="s">
        <v>129</v>
      </c>
      <c r="M45" s="364"/>
      <c r="N45" s="379" t="s">
        <v>130</v>
      </c>
      <c r="O45" s="380"/>
      <c r="P45" s="391" t="s">
        <v>131</v>
      </c>
      <c r="Q45" s="391"/>
      <c r="R45" s="42"/>
      <c r="S45" s="42"/>
      <c r="T45" s="42"/>
    </row>
    <row r="46" spans="1:20" ht="18" customHeight="1" thickBot="1" x14ac:dyDescent="0.35">
      <c r="A46" s="42"/>
      <c r="B46" s="42"/>
      <c r="C46" s="42"/>
      <c r="D46" s="352" t="s">
        <v>148</v>
      </c>
      <c r="E46" s="353"/>
      <c r="F46" s="353"/>
      <c r="G46" s="353"/>
      <c r="H46" s="353"/>
      <c r="I46" s="354"/>
      <c r="J46" s="355">
        <v>1</v>
      </c>
      <c r="K46" s="356"/>
      <c r="L46" s="387">
        <v>10000</v>
      </c>
      <c r="M46" s="388"/>
      <c r="N46" s="384">
        <v>1</v>
      </c>
      <c r="O46" s="385"/>
      <c r="P46" s="350">
        <f>J46*L46*N46</f>
        <v>10000</v>
      </c>
      <c r="Q46" s="351"/>
      <c r="R46" s="42"/>
      <c r="S46" s="42"/>
      <c r="T46" s="42"/>
    </row>
    <row r="47" spans="1:20" ht="18" customHeight="1" thickBot="1" x14ac:dyDescent="0.35">
      <c r="A47" s="42"/>
      <c r="B47" s="42"/>
      <c r="C47" s="42"/>
      <c r="D47" s="352"/>
      <c r="E47" s="353"/>
      <c r="F47" s="353"/>
      <c r="G47" s="353"/>
      <c r="H47" s="353"/>
      <c r="I47" s="354"/>
      <c r="J47" s="355"/>
      <c r="K47" s="356"/>
      <c r="L47" s="387"/>
      <c r="M47" s="388"/>
      <c r="N47" s="384"/>
      <c r="O47" s="385"/>
      <c r="P47" s="350">
        <f>J47*L47*N47</f>
        <v>0</v>
      </c>
      <c r="Q47" s="351"/>
      <c r="R47" s="42"/>
      <c r="S47" s="42"/>
      <c r="T47" s="42"/>
    </row>
    <row r="48" spans="1:20" ht="18" customHeight="1" thickBot="1" x14ac:dyDescent="0.35">
      <c r="A48" s="42"/>
      <c r="B48" s="42"/>
      <c r="C48" s="42"/>
      <c r="D48" s="352"/>
      <c r="E48" s="353"/>
      <c r="F48" s="353"/>
      <c r="G48" s="353"/>
      <c r="H48" s="353"/>
      <c r="I48" s="354"/>
      <c r="J48" s="355"/>
      <c r="K48" s="356"/>
      <c r="L48" s="387"/>
      <c r="M48" s="388"/>
      <c r="N48" s="384"/>
      <c r="O48" s="385"/>
      <c r="P48" s="350">
        <f>J48*L48*N48</f>
        <v>0</v>
      </c>
      <c r="Q48" s="351"/>
      <c r="R48" s="42"/>
      <c r="S48" s="42"/>
      <c r="T48" s="42"/>
    </row>
    <row r="49" spans="1:20" ht="18" customHeight="1" thickBot="1" x14ac:dyDescent="0.35">
      <c r="A49" s="42"/>
      <c r="B49" s="42"/>
      <c r="C49" s="42"/>
      <c r="D49" s="352"/>
      <c r="E49" s="353"/>
      <c r="F49" s="353"/>
      <c r="G49" s="353"/>
      <c r="H49" s="353"/>
      <c r="I49" s="354"/>
      <c r="J49" s="355"/>
      <c r="K49" s="356"/>
      <c r="L49" s="387"/>
      <c r="M49" s="388"/>
      <c r="N49" s="384"/>
      <c r="O49" s="385"/>
      <c r="P49" s="350">
        <f>J49*L49*N49</f>
        <v>0</v>
      </c>
      <c r="Q49" s="351"/>
      <c r="R49" s="42"/>
      <c r="S49" s="42"/>
      <c r="T49" s="42"/>
    </row>
    <row r="50" spans="1:20" ht="18" customHeight="1" thickBot="1" x14ac:dyDescent="0.35">
      <c r="A50" s="42"/>
      <c r="B50" s="42"/>
      <c r="C50" s="42"/>
      <c r="D50" s="352"/>
      <c r="E50" s="353"/>
      <c r="F50" s="353"/>
      <c r="G50" s="353"/>
      <c r="H50" s="353"/>
      <c r="I50" s="354"/>
      <c r="J50" s="355"/>
      <c r="K50" s="356"/>
      <c r="L50" s="387"/>
      <c r="M50" s="388"/>
      <c r="N50" s="384"/>
      <c r="O50" s="385"/>
      <c r="P50" s="350">
        <f>J50*L50*N50</f>
        <v>0</v>
      </c>
      <c r="Q50" s="351"/>
      <c r="R50" s="42"/>
      <c r="S50" s="42"/>
      <c r="T50" s="42"/>
    </row>
    <row r="51" spans="1:20" ht="18" customHeight="1" thickBot="1" x14ac:dyDescent="0.35">
      <c r="A51" s="42"/>
      <c r="B51" s="42"/>
      <c r="C51" s="42"/>
      <c r="D51" s="391" t="s">
        <v>135</v>
      </c>
      <c r="E51" s="391"/>
      <c r="F51" s="391"/>
      <c r="G51" s="391"/>
      <c r="H51" s="391"/>
      <c r="I51" s="391"/>
      <c r="J51" s="391" t="s">
        <v>128</v>
      </c>
      <c r="K51" s="391"/>
      <c r="L51" s="362" t="s">
        <v>129</v>
      </c>
      <c r="M51" s="364"/>
      <c r="N51" s="379" t="s">
        <v>130</v>
      </c>
      <c r="O51" s="380"/>
      <c r="P51" s="391" t="s">
        <v>131</v>
      </c>
      <c r="Q51" s="391"/>
      <c r="R51" s="42"/>
      <c r="S51" s="42"/>
      <c r="T51" s="42"/>
    </row>
    <row r="52" spans="1:20" ht="18" customHeight="1" thickBot="1" x14ac:dyDescent="0.35">
      <c r="A52" s="42"/>
      <c r="B52" s="42"/>
      <c r="C52" s="42"/>
      <c r="D52" s="352"/>
      <c r="E52" s="353"/>
      <c r="F52" s="353"/>
      <c r="G52" s="353"/>
      <c r="H52" s="353"/>
      <c r="I52" s="354"/>
      <c r="J52" s="355"/>
      <c r="K52" s="356"/>
      <c r="L52" s="387"/>
      <c r="M52" s="388"/>
      <c r="N52" s="384"/>
      <c r="O52" s="385"/>
      <c r="P52" s="350">
        <f>J52*L52*N52</f>
        <v>0</v>
      </c>
      <c r="Q52" s="351"/>
      <c r="R52" s="42"/>
      <c r="S52" s="42"/>
      <c r="T52" s="42"/>
    </row>
    <row r="53" spans="1:20" ht="18" customHeight="1" thickBot="1" x14ac:dyDescent="0.35">
      <c r="A53" s="42"/>
      <c r="B53" s="42"/>
      <c r="C53" s="42"/>
      <c r="D53" s="352"/>
      <c r="E53" s="353"/>
      <c r="F53" s="353"/>
      <c r="G53" s="353"/>
      <c r="H53" s="353"/>
      <c r="I53" s="354"/>
      <c r="J53" s="355"/>
      <c r="K53" s="356"/>
      <c r="L53" s="387"/>
      <c r="M53" s="388"/>
      <c r="N53" s="384"/>
      <c r="O53" s="385"/>
      <c r="P53" s="350">
        <f>J53*L53*N53</f>
        <v>0</v>
      </c>
      <c r="Q53" s="351"/>
      <c r="R53" s="42"/>
      <c r="S53" s="42"/>
      <c r="T53" s="42"/>
    </row>
    <row r="54" spans="1:20" ht="18" customHeight="1" thickBot="1" x14ac:dyDescent="0.35">
      <c r="A54" s="42"/>
      <c r="B54" s="42"/>
      <c r="C54" s="42"/>
      <c r="D54" s="391" t="s">
        <v>137</v>
      </c>
      <c r="E54" s="391"/>
      <c r="F54" s="391"/>
      <c r="G54" s="391"/>
      <c r="H54" s="391"/>
      <c r="I54" s="391"/>
      <c r="J54" s="362" t="s">
        <v>138</v>
      </c>
      <c r="K54" s="363"/>
      <c r="L54" s="363"/>
      <c r="M54" s="364"/>
      <c r="N54" s="390" t="s">
        <v>128</v>
      </c>
      <c r="O54" s="371"/>
      <c r="P54" s="391" t="s">
        <v>131</v>
      </c>
      <c r="Q54" s="391"/>
      <c r="R54" s="42"/>
      <c r="S54" s="42"/>
      <c r="T54" s="42"/>
    </row>
    <row r="55" spans="1:20" ht="18" customHeight="1" thickBot="1" x14ac:dyDescent="0.35">
      <c r="A55" s="42"/>
      <c r="B55" s="42"/>
      <c r="C55" s="42"/>
      <c r="D55" s="352"/>
      <c r="E55" s="353"/>
      <c r="F55" s="353"/>
      <c r="G55" s="353"/>
      <c r="H55" s="353"/>
      <c r="I55" s="354"/>
      <c r="J55" s="381"/>
      <c r="K55" s="382"/>
      <c r="L55" s="382"/>
      <c r="M55" s="383"/>
      <c r="N55" s="384"/>
      <c r="O55" s="385"/>
      <c r="P55" s="350">
        <f>J55*N55</f>
        <v>0</v>
      </c>
      <c r="Q55" s="351"/>
      <c r="R55" s="42"/>
      <c r="S55" s="42"/>
      <c r="T55" s="42"/>
    </row>
    <row r="56" spans="1:20" ht="18" customHeight="1" thickBot="1" x14ac:dyDescent="0.35">
      <c r="A56" s="42"/>
      <c r="B56" s="42"/>
      <c r="C56" s="42"/>
      <c r="D56" s="352"/>
      <c r="E56" s="353"/>
      <c r="F56" s="353"/>
      <c r="G56" s="353"/>
      <c r="H56" s="353"/>
      <c r="I56" s="354"/>
      <c r="J56" s="355"/>
      <c r="K56" s="386"/>
      <c r="L56" s="386"/>
      <c r="M56" s="356"/>
      <c r="N56" s="384"/>
      <c r="O56" s="385"/>
      <c r="P56" s="350">
        <f>J56*N56</f>
        <v>0</v>
      </c>
      <c r="Q56" s="351"/>
      <c r="R56" s="42"/>
      <c r="S56" s="42"/>
      <c r="T56" s="42"/>
    </row>
    <row r="57" spans="1:20" ht="18" customHeight="1" thickBot="1" x14ac:dyDescent="0.35">
      <c r="A57" s="42"/>
      <c r="B57" s="42"/>
      <c r="C57" s="42"/>
      <c r="D57" s="352"/>
      <c r="E57" s="353"/>
      <c r="F57" s="353"/>
      <c r="G57" s="353"/>
      <c r="H57" s="353"/>
      <c r="I57" s="354"/>
      <c r="J57" s="355"/>
      <c r="K57" s="386"/>
      <c r="L57" s="386"/>
      <c r="M57" s="356"/>
      <c r="N57" s="384"/>
      <c r="O57" s="385"/>
      <c r="P57" s="350">
        <f>J57*N57</f>
        <v>0</v>
      </c>
      <c r="Q57" s="351"/>
      <c r="R57" s="42"/>
      <c r="S57" s="42"/>
      <c r="T57" s="42"/>
    </row>
    <row r="58" spans="1:20" ht="18" customHeight="1" thickBot="1" x14ac:dyDescent="0.35">
      <c r="A58" s="42"/>
      <c r="B58" s="42"/>
      <c r="C58" s="42"/>
      <c r="D58" s="375" t="s">
        <v>141</v>
      </c>
      <c r="E58" s="376"/>
      <c r="F58" s="376"/>
      <c r="G58" s="376"/>
      <c r="H58" s="376"/>
      <c r="I58" s="376"/>
      <c r="J58" s="376"/>
      <c r="K58" s="376"/>
      <c r="L58" s="376"/>
      <c r="M58" s="377"/>
      <c r="N58" s="401">
        <f>SUM(P46:Q50)+SUM(P52:Q53)+SUM(P55:Q57)</f>
        <v>10000</v>
      </c>
      <c r="O58" s="402"/>
      <c r="P58" s="402"/>
      <c r="Q58" s="339"/>
      <c r="R58" s="42"/>
      <c r="S58" s="42"/>
      <c r="T58" s="42"/>
    </row>
    <row r="59" spans="1:20" ht="18" customHeight="1" thickBot="1" x14ac:dyDescent="0.35">
      <c r="A59" s="42"/>
      <c r="B59" s="42"/>
      <c r="C59" s="42"/>
      <c r="D59" s="403" t="s">
        <v>149</v>
      </c>
      <c r="E59" s="404"/>
      <c r="F59" s="404"/>
      <c r="G59" s="404"/>
      <c r="H59" s="404"/>
      <c r="I59" s="404"/>
      <c r="J59" s="404"/>
      <c r="K59" s="404"/>
      <c r="L59" s="404"/>
      <c r="M59" s="404"/>
      <c r="N59" s="404"/>
      <c r="O59" s="404"/>
      <c r="P59" s="404"/>
      <c r="Q59" s="405"/>
      <c r="R59" s="42"/>
      <c r="S59" s="42"/>
      <c r="T59" s="42"/>
    </row>
    <row r="60" spans="1:20" ht="18" customHeight="1" thickBot="1" x14ac:dyDescent="0.35">
      <c r="A60" s="42"/>
      <c r="B60" s="42"/>
      <c r="C60" s="42"/>
      <c r="D60" s="375" t="s">
        <v>127</v>
      </c>
      <c r="E60" s="376"/>
      <c r="F60" s="376"/>
      <c r="G60" s="376"/>
      <c r="H60" s="376"/>
      <c r="I60" s="377"/>
      <c r="J60" s="362" t="s">
        <v>128</v>
      </c>
      <c r="K60" s="364"/>
      <c r="L60" s="340" t="s">
        <v>143</v>
      </c>
      <c r="M60" s="378"/>
      <c r="N60" s="378"/>
      <c r="O60" s="341"/>
      <c r="P60" s="379" t="s">
        <v>144</v>
      </c>
      <c r="Q60" s="380"/>
      <c r="R60" s="42"/>
      <c r="S60" s="42"/>
      <c r="T60" s="42"/>
    </row>
    <row r="61" spans="1:20" ht="18" customHeight="1" thickBot="1" x14ac:dyDescent="0.35">
      <c r="A61" s="42"/>
      <c r="B61" s="42"/>
      <c r="C61" s="42"/>
      <c r="D61" s="352" t="s">
        <v>148</v>
      </c>
      <c r="E61" s="353"/>
      <c r="F61" s="353"/>
      <c r="G61" s="353"/>
      <c r="H61" s="353"/>
      <c r="I61" s="354"/>
      <c r="J61" s="355">
        <v>1</v>
      </c>
      <c r="K61" s="356"/>
      <c r="L61" s="357">
        <v>176</v>
      </c>
      <c r="M61" s="358"/>
      <c r="N61" s="358"/>
      <c r="O61" s="359"/>
      <c r="P61" s="360">
        <f>J61*L61</f>
        <v>176</v>
      </c>
      <c r="Q61" s="361"/>
      <c r="R61" s="42"/>
      <c r="S61" s="42"/>
      <c r="T61" s="42"/>
    </row>
    <row r="62" spans="1:20" ht="18" customHeight="1" thickBot="1" x14ac:dyDescent="0.35">
      <c r="A62" s="42"/>
      <c r="B62" s="42"/>
      <c r="C62" s="42"/>
      <c r="D62" s="352"/>
      <c r="E62" s="353"/>
      <c r="F62" s="353"/>
      <c r="G62" s="353"/>
      <c r="H62" s="353"/>
      <c r="I62" s="354"/>
      <c r="J62" s="355"/>
      <c r="K62" s="356"/>
      <c r="L62" s="357"/>
      <c r="M62" s="358"/>
      <c r="N62" s="358"/>
      <c r="O62" s="359"/>
      <c r="P62" s="360">
        <f>J62*L62</f>
        <v>0</v>
      </c>
      <c r="Q62" s="361"/>
      <c r="R62" s="42"/>
      <c r="S62" s="42"/>
      <c r="T62" s="42"/>
    </row>
    <row r="63" spans="1:20" ht="18" customHeight="1" thickBot="1" x14ac:dyDescent="0.35">
      <c r="A63" s="42"/>
      <c r="B63" s="42"/>
      <c r="C63" s="42"/>
      <c r="D63" s="352"/>
      <c r="E63" s="353"/>
      <c r="F63" s="353"/>
      <c r="G63" s="353"/>
      <c r="H63" s="353"/>
      <c r="I63" s="354"/>
      <c r="J63" s="355"/>
      <c r="K63" s="356"/>
      <c r="L63" s="357"/>
      <c r="M63" s="358"/>
      <c r="N63" s="358"/>
      <c r="O63" s="359"/>
      <c r="P63" s="360">
        <f>J63*L63</f>
        <v>0</v>
      </c>
      <c r="Q63" s="361"/>
      <c r="R63" s="42"/>
      <c r="S63" s="42"/>
      <c r="T63" s="42"/>
    </row>
    <row r="64" spans="1:20" ht="18" customHeight="1" thickBot="1" x14ac:dyDescent="0.35">
      <c r="A64" s="42"/>
      <c r="B64" s="42"/>
      <c r="C64" s="42"/>
      <c r="D64" s="352"/>
      <c r="E64" s="353"/>
      <c r="F64" s="353"/>
      <c r="G64" s="353"/>
      <c r="H64" s="353"/>
      <c r="I64" s="354"/>
      <c r="J64" s="355"/>
      <c r="K64" s="356"/>
      <c r="L64" s="357"/>
      <c r="M64" s="358"/>
      <c r="N64" s="358"/>
      <c r="O64" s="359"/>
      <c r="P64" s="360">
        <f t="shared" ref="P64:P66" si="2">J64*L64</f>
        <v>0</v>
      </c>
      <c r="Q64" s="361"/>
      <c r="R64" s="42"/>
      <c r="S64" s="42"/>
      <c r="T64" s="42"/>
    </row>
    <row r="65" spans="1:20" ht="18" customHeight="1" thickBot="1" x14ac:dyDescent="0.35">
      <c r="A65" s="42"/>
      <c r="B65" s="42"/>
      <c r="C65" s="42"/>
      <c r="D65" s="352"/>
      <c r="E65" s="353"/>
      <c r="F65" s="353"/>
      <c r="G65" s="353"/>
      <c r="H65" s="353"/>
      <c r="I65" s="354"/>
      <c r="J65" s="355"/>
      <c r="K65" s="356"/>
      <c r="L65" s="357"/>
      <c r="M65" s="358"/>
      <c r="N65" s="358"/>
      <c r="O65" s="359"/>
      <c r="P65" s="360">
        <f t="shared" si="2"/>
        <v>0</v>
      </c>
      <c r="Q65" s="361"/>
      <c r="R65" s="42"/>
      <c r="S65" s="42"/>
      <c r="T65" s="42"/>
    </row>
    <row r="66" spans="1:20" ht="18" customHeight="1" thickBot="1" x14ac:dyDescent="0.35">
      <c r="A66" s="42"/>
      <c r="B66" s="42"/>
      <c r="C66" s="42"/>
      <c r="D66" s="352"/>
      <c r="E66" s="353"/>
      <c r="F66" s="353"/>
      <c r="G66" s="353"/>
      <c r="H66" s="353"/>
      <c r="I66" s="354"/>
      <c r="J66" s="355"/>
      <c r="K66" s="356"/>
      <c r="L66" s="357"/>
      <c r="M66" s="358"/>
      <c r="N66" s="358"/>
      <c r="O66" s="359"/>
      <c r="P66" s="360">
        <f t="shared" si="2"/>
        <v>0</v>
      </c>
      <c r="Q66" s="361"/>
      <c r="R66" s="42"/>
      <c r="S66" s="42"/>
      <c r="T66" s="42"/>
    </row>
    <row r="67" spans="1:20" ht="18" customHeight="1" thickBot="1" x14ac:dyDescent="0.35">
      <c r="A67" s="42"/>
      <c r="B67" s="42"/>
      <c r="C67" s="42"/>
      <c r="D67" s="375" t="s">
        <v>146</v>
      </c>
      <c r="E67" s="376"/>
      <c r="F67" s="376"/>
      <c r="G67" s="376"/>
      <c r="H67" s="376"/>
      <c r="I67" s="376"/>
      <c r="J67" s="376"/>
      <c r="K67" s="376"/>
      <c r="L67" s="376"/>
      <c r="M67" s="377"/>
      <c r="N67" s="398">
        <f>SUM(P61:Q66)</f>
        <v>176</v>
      </c>
      <c r="O67" s="399"/>
      <c r="P67" s="399"/>
      <c r="Q67" s="400"/>
      <c r="R67" s="42"/>
      <c r="S67" s="42"/>
      <c r="T67" s="42"/>
    </row>
    <row r="68" spans="1:20" ht="18" customHeight="1" x14ac:dyDescent="0.3">
      <c r="A68" s="42"/>
      <c r="B68" s="42"/>
      <c r="C68" s="42"/>
      <c r="D68" s="127"/>
      <c r="E68" s="127"/>
      <c r="F68" s="127"/>
      <c r="G68" s="127"/>
      <c r="H68" s="127"/>
      <c r="I68" s="127"/>
      <c r="J68" s="127"/>
      <c r="K68" s="127"/>
      <c r="L68" s="127"/>
      <c r="M68" s="127"/>
      <c r="N68" s="128"/>
      <c r="O68" s="128"/>
      <c r="P68" s="128"/>
      <c r="Q68" s="128"/>
      <c r="R68" s="42"/>
      <c r="S68" s="42"/>
      <c r="T68" s="42"/>
    </row>
    <row r="69" spans="1:20" ht="18" customHeight="1" thickBot="1" x14ac:dyDescent="0.35">
      <c r="A69" s="42"/>
      <c r="B69" s="42"/>
      <c r="C69" s="42"/>
      <c r="D69" s="127"/>
      <c r="E69" s="127"/>
      <c r="F69" s="127"/>
      <c r="G69" s="127"/>
      <c r="H69" s="127"/>
      <c r="I69" s="127"/>
      <c r="J69" s="127"/>
      <c r="K69" s="127"/>
      <c r="L69" s="127"/>
      <c r="M69" s="127"/>
      <c r="N69" s="128"/>
      <c r="O69" s="128"/>
      <c r="P69" s="128"/>
      <c r="Q69" s="128"/>
      <c r="R69" s="42"/>
      <c r="S69" s="42"/>
      <c r="T69" s="42"/>
    </row>
    <row r="70" spans="1:20" ht="18" customHeight="1" x14ac:dyDescent="0.3">
      <c r="A70" s="42"/>
      <c r="B70" s="42"/>
      <c r="C70" s="42"/>
      <c r="D70" s="392" t="s">
        <v>150</v>
      </c>
      <c r="E70" s="393"/>
      <c r="F70" s="393"/>
      <c r="G70" s="393"/>
      <c r="H70" s="393"/>
      <c r="I70" s="393"/>
      <c r="J70" s="393"/>
      <c r="K70" s="393"/>
      <c r="L70" s="393"/>
      <c r="M70" s="393"/>
      <c r="N70" s="393"/>
      <c r="O70" s="393"/>
      <c r="P70" s="393"/>
      <c r="Q70" s="394"/>
      <c r="R70" s="42"/>
      <c r="S70" s="42"/>
      <c r="T70" s="42"/>
    </row>
    <row r="71" spans="1:20" ht="18" customHeight="1" thickBot="1" x14ac:dyDescent="0.35">
      <c r="A71" s="42"/>
      <c r="B71" s="42"/>
      <c r="C71" s="42"/>
      <c r="D71" s="395"/>
      <c r="E71" s="396"/>
      <c r="F71" s="396"/>
      <c r="G71" s="396"/>
      <c r="H71" s="396"/>
      <c r="I71" s="396"/>
      <c r="J71" s="396"/>
      <c r="K71" s="396"/>
      <c r="L71" s="396"/>
      <c r="M71" s="396"/>
      <c r="N71" s="396"/>
      <c r="O71" s="396"/>
      <c r="P71" s="396"/>
      <c r="Q71" s="397"/>
      <c r="R71" s="42"/>
      <c r="S71" s="42"/>
      <c r="T71" s="42"/>
    </row>
    <row r="72" spans="1:20" ht="18" customHeight="1" thickBot="1" x14ac:dyDescent="0.35">
      <c r="A72" s="42"/>
      <c r="B72" s="42"/>
      <c r="C72" s="42"/>
      <c r="D72" s="389" t="s">
        <v>127</v>
      </c>
      <c r="E72" s="389"/>
      <c r="F72" s="389"/>
      <c r="G72" s="389"/>
      <c r="H72" s="389"/>
      <c r="I72" s="389"/>
      <c r="J72" s="391" t="s">
        <v>128</v>
      </c>
      <c r="K72" s="391"/>
      <c r="L72" s="362" t="s">
        <v>129</v>
      </c>
      <c r="M72" s="364"/>
      <c r="N72" s="379" t="s">
        <v>130</v>
      </c>
      <c r="O72" s="380"/>
      <c r="P72" s="391" t="s">
        <v>131</v>
      </c>
      <c r="Q72" s="391"/>
      <c r="R72" s="42"/>
      <c r="S72" s="42"/>
      <c r="T72" s="42"/>
    </row>
    <row r="73" spans="1:20" ht="18" customHeight="1" thickBot="1" x14ac:dyDescent="0.35">
      <c r="A73" s="42"/>
      <c r="B73" s="42"/>
      <c r="C73" s="42"/>
      <c r="D73" s="352" t="s">
        <v>151</v>
      </c>
      <c r="E73" s="353"/>
      <c r="F73" s="353"/>
      <c r="G73" s="353"/>
      <c r="H73" s="353"/>
      <c r="I73" s="354"/>
      <c r="J73" s="355">
        <v>1</v>
      </c>
      <c r="K73" s="356"/>
      <c r="L73" s="387">
        <v>8000</v>
      </c>
      <c r="M73" s="388"/>
      <c r="N73" s="384">
        <v>1</v>
      </c>
      <c r="O73" s="385"/>
      <c r="P73" s="350">
        <f>J73*L73*N73</f>
        <v>8000</v>
      </c>
      <c r="Q73" s="351"/>
      <c r="R73" s="42"/>
      <c r="S73" s="42"/>
      <c r="T73" s="42"/>
    </row>
    <row r="74" spans="1:20" ht="18" customHeight="1" thickBot="1" x14ac:dyDescent="0.35">
      <c r="A74" s="42"/>
      <c r="B74" s="42"/>
      <c r="C74" s="42"/>
      <c r="D74" s="352"/>
      <c r="E74" s="353"/>
      <c r="F74" s="353"/>
      <c r="G74" s="353"/>
      <c r="H74" s="353"/>
      <c r="I74" s="354"/>
      <c r="J74" s="355"/>
      <c r="K74" s="356"/>
      <c r="L74" s="387"/>
      <c r="M74" s="388"/>
      <c r="N74" s="384"/>
      <c r="O74" s="385"/>
      <c r="P74" s="350">
        <f>J74*L74*N74</f>
        <v>0</v>
      </c>
      <c r="Q74" s="351"/>
      <c r="R74" s="42"/>
      <c r="S74" s="42"/>
      <c r="T74" s="42"/>
    </row>
    <row r="75" spans="1:20" ht="18" customHeight="1" thickBot="1" x14ac:dyDescent="0.35">
      <c r="A75" s="42"/>
      <c r="B75" s="42"/>
      <c r="C75" s="42"/>
      <c r="D75" s="352"/>
      <c r="E75" s="353"/>
      <c r="F75" s="353"/>
      <c r="G75" s="353"/>
      <c r="H75" s="353"/>
      <c r="I75" s="354"/>
      <c r="J75" s="355"/>
      <c r="K75" s="356"/>
      <c r="L75" s="387"/>
      <c r="M75" s="388"/>
      <c r="N75" s="384"/>
      <c r="O75" s="385"/>
      <c r="P75" s="350">
        <f>J75*L75*N75</f>
        <v>0</v>
      </c>
      <c r="Q75" s="351"/>
      <c r="R75" s="42"/>
      <c r="S75" s="42"/>
      <c r="T75" s="42"/>
    </row>
    <row r="76" spans="1:20" ht="18" customHeight="1" thickBot="1" x14ac:dyDescent="0.35">
      <c r="A76" s="42"/>
      <c r="B76" s="42"/>
      <c r="C76" s="42"/>
      <c r="D76" s="352"/>
      <c r="E76" s="353"/>
      <c r="F76" s="353"/>
      <c r="G76" s="353"/>
      <c r="H76" s="353"/>
      <c r="I76" s="354"/>
      <c r="J76" s="355"/>
      <c r="K76" s="356"/>
      <c r="L76" s="387"/>
      <c r="M76" s="388"/>
      <c r="N76" s="384"/>
      <c r="O76" s="385"/>
      <c r="P76" s="350">
        <f>J76*L76*N76</f>
        <v>0</v>
      </c>
      <c r="Q76" s="351"/>
      <c r="R76" s="42"/>
      <c r="S76" s="42"/>
      <c r="T76" s="42"/>
    </row>
    <row r="77" spans="1:20" ht="18" customHeight="1" thickBot="1" x14ac:dyDescent="0.35">
      <c r="A77" s="42"/>
      <c r="B77" s="42"/>
      <c r="C77" s="42"/>
      <c r="D77" s="352"/>
      <c r="E77" s="353"/>
      <c r="F77" s="353"/>
      <c r="G77" s="353"/>
      <c r="H77" s="353"/>
      <c r="I77" s="354"/>
      <c r="J77" s="355"/>
      <c r="K77" s="356"/>
      <c r="L77" s="387"/>
      <c r="M77" s="388"/>
      <c r="N77" s="384"/>
      <c r="O77" s="385"/>
      <c r="P77" s="350">
        <f>J77*L77*N77</f>
        <v>0</v>
      </c>
      <c r="Q77" s="351"/>
      <c r="R77" s="42"/>
      <c r="S77" s="42"/>
      <c r="T77" s="42"/>
    </row>
    <row r="78" spans="1:20" ht="18" customHeight="1" thickBot="1" x14ac:dyDescent="0.35">
      <c r="A78" s="42"/>
      <c r="B78" s="42"/>
      <c r="C78" s="42"/>
      <c r="D78" s="389" t="s">
        <v>135</v>
      </c>
      <c r="E78" s="389"/>
      <c r="F78" s="389"/>
      <c r="G78" s="389"/>
      <c r="H78" s="389"/>
      <c r="I78" s="389"/>
      <c r="J78" s="391" t="s">
        <v>128</v>
      </c>
      <c r="K78" s="391"/>
      <c r="L78" s="362" t="s">
        <v>129</v>
      </c>
      <c r="M78" s="364"/>
      <c r="N78" s="379" t="s">
        <v>130</v>
      </c>
      <c r="O78" s="380"/>
      <c r="P78" s="391" t="s">
        <v>131</v>
      </c>
      <c r="Q78" s="391"/>
      <c r="R78" s="42"/>
      <c r="S78" s="42"/>
      <c r="T78" s="42"/>
    </row>
    <row r="79" spans="1:20" ht="18" customHeight="1" thickBot="1" x14ac:dyDescent="0.35">
      <c r="A79" s="42"/>
      <c r="B79" s="42"/>
      <c r="C79" s="42"/>
      <c r="D79" s="352"/>
      <c r="E79" s="353"/>
      <c r="F79" s="353"/>
      <c r="G79" s="353"/>
      <c r="H79" s="353"/>
      <c r="I79" s="354"/>
      <c r="J79" s="355"/>
      <c r="K79" s="356"/>
      <c r="L79" s="387"/>
      <c r="M79" s="388"/>
      <c r="N79" s="384"/>
      <c r="O79" s="385"/>
      <c r="P79" s="350">
        <f>J79*L79*N79</f>
        <v>0</v>
      </c>
      <c r="Q79" s="351"/>
      <c r="R79" s="42"/>
      <c r="S79" s="42"/>
      <c r="T79" s="42"/>
    </row>
    <row r="80" spans="1:20" ht="18" customHeight="1" thickBot="1" x14ac:dyDescent="0.35">
      <c r="A80" s="42"/>
      <c r="B80" s="42"/>
      <c r="C80" s="42"/>
      <c r="D80" s="352"/>
      <c r="E80" s="353"/>
      <c r="F80" s="353"/>
      <c r="G80" s="353"/>
      <c r="H80" s="353"/>
      <c r="I80" s="354"/>
      <c r="J80" s="355"/>
      <c r="K80" s="356"/>
      <c r="L80" s="387"/>
      <c r="M80" s="388"/>
      <c r="N80" s="384"/>
      <c r="O80" s="385"/>
      <c r="P80" s="350">
        <f>J80*L80*N80</f>
        <v>0</v>
      </c>
      <c r="Q80" s="351"/>
      <c r="R80" s="42"/>
      <c r="S80" s="42"/>
      <c r="T80" s="42"/>
    </row>
    <row r="81" spans="1:20" ht="18" customHeight="1" thickBot="1" x14ac:dyDescent="0.35">
      <c r="A81" s="42"/>
      <c r="B81" s="42"/>
      <c r="C81" s="42"/>
      <c r="D81" s="389" t="s">
        <v>137</v>
      </c>
      <c r="E81" s="389"/>
      <c r="F81" s="389"/>
      <c r="G81" s="389"/>
      <c r="H81" s="389"/>
      <c r="I81" s="389"/>
      <c r="J81" s="362" t="s">
        <v>138</v>
      </c>
      <c r="K81" s="363"/>
      <c r="L81" s="363"/>
      <c r="M81" s="364"/>
      <c r="N81" s="390" t="s">
        <v>128</v>
      </c>
      <c r="O81" s="371"/>
      <c r="P81" s="391" t="s">
        <v>131</v>
      </c>
      <c r="Q81" s="391"/>
      <c r="R81" s="42"/>
      <c r="S81" s="42"/>
      <c r="T81" s="42"/>
    </row>
    <row r="82" spans="1:20" ht="18" customHeight="1" thickBot="1" x14ac:dyDescent="0.35">
      <c r="A82" s="42"/>
      <c r="B82" s="42"/>
      <c r="C82" s="42"/>
      <c r="D82" s="352"/>
      <c r="E82" s="353"/>
      <c r="F82" s="353"/>
      <c r="G82" s="353"/>
      <c r="H82" s="353"/>
      <c r="I82" s="354"/>
      <c r="J82" s="381"/>
      <c r="K82" s="382"/>
      <c r="L82" s="382"/>
      <c r="M82" s="383"/>
      <c r="N82" s="384"/>
      <c r="O82" s="385"/>
      <c r="P82" s="350">
        <f>J82*N82</f>
        <v>0</v>
      </c>
      <c r="Q82" s="351"/>
      <c r="R82" s="42"/>
      <c r="S82" s="42"/>
      <c r="T82" s="42"/>
    </row>
    <row r="83" spans="1:20" ht="18" customHeight="1" thickBot="1" x14ac:dyDescent="0.35">
      <c r="A83" s="42"/>
      <c r="B83" s="42"/>
      <c r="C83" s="42"/>
      <c r="D83" s="352"/>
      <c r="E83" s="353"/>
      <c r="F83" s="353"/>
      <c r="G83" s="353"/>
      <c r="H83" s="353"/>
      <c r="I83" s="354"/>
      <c r="J83" s="355"/>
      <c r="K83" s="386"/>
      <c r="L83" s="386"/>
      <c r="M83" s="356"/>
      <c r="N83" s="384"/>
      <c r="O83" s="385"/>
      <c r="P83" s="350">
        <f>J83*N83</f>
        <v>0</v>
      </c>
      <c r="Q83" s="351"/>
      <c r="R83" s="42"/>
      <c r="S83" s="42"/>
      <c r="T83" s="42"/>
    </row>
    <row r="84" spans="1:20" ht="18" customHeight="1" thickBot="1" x14ac:dyDescent="0.35">
      <c r="A84" s="42"/>
      <c r="B84" s="42"/>
      <c r="C84" s="42"/>
      <c r="D84" s="352"/>
      <c r="E84" s="353"/>
      <c r="F84" s="353"/>
      <c r="G84" s="353"/>
      <c r="H84" s="353"/>
      <c r="I84" s="354"/>
      <c r="J84" s="355"/>
      <c r="K84" s="386"/>
      <c r="L84" s="386"/>
      <c r="M84" s="356"/>
      <c r="N84" s="384"/>
      <c r="O84" s="385"/>
      <c r="P84" s="350">
        <f>J84*N84</f>
        <v>0</v>
      </c>
      <c r="Q84" s="351"/>
      <c r="R84" s="42"/>
      <c r="S84" s="42"/>
      <c r="T84" s="42"/>
    </row>
    <row r="85" spans="1:20" ht="18" customHeight="1" thickBot="1" x14ac:dyDescent="0.35">
      <c r="A85" s="42"/>
      <c r="B85" s="42"/>
      <c r="C85" s="42"/>
      <c r="D85" s="342" t="s">
        <v>141</v>
      </c>
      <c r="E85" s="368"/>
      <c r="F85" s="368"/>
      <c r="G85" s="368"/>
      <c r="H85" s="368"/>
      <c r="I85" s="368"/>
      <c r="J85" s="368"/>
      <c r="K85" s="368"/>
      <c r="L85" s="368"/>
      <c r="M85" s="343"/>
      <c r="N85" s="369">
        <f>SUM(P73:Q77)+SUM(P79:Q80)+SUM(P82:Q84)</f>
        <v>8000</v>
      </c>
      <c r="O85" s="370"/>
      <c r="P85" s="370"/>
      <c r="Q85" s="371"/>
      <c r="R85" s="42"/>
      <c r="S85" s="42"/>
      <c r="T85" s="42"/>
    </row>
    <row r="86" spans="1:20" ht="18" customHeight="1" thickBot="1" x14ac:dyDescent="0.35">
      <c r="A86" s="42"/>
      <c r="B86" s="42"/>
      <c r="C86" s="42"/>
      <c r="D86" s="372" t="s">
        <v>152</v>
      </c>
      <c r="E86" s="373"/>
      <c r="F86" s="373"/>
      <c r="G86" s="373"/>
      <c r="H86" s="373"/>
      <c r="I86" s="373"/>
      <c r="J86" s="373"/>
      <c r="K86" s="373"/>
      <c r="L86" s="373"/>
      <c r="M86" s="373"/>
      <c r="N86" s="373"/>
      <c r="O86" s="373"/>
      <c r="P86" s="373"/>
      <c r="Q86" s="374"/>
      <c r="R86" s="42"/>
      <c r="S86" s="42"/>
      <c r="T86" s="42"/>
    </row>
    <row r="87" spans="1:20" ht="18" customHeight="1" thickBot="1" x14ac:dyDescent="0.35">
      <c r="A87" s="42"/>
      <c r="B87" s="42"/>
      <c r="C87" s="42"/>
      <c r="D87" s="375" t="s">
        <v>127</v>
      </c>
      <c r="E87" s="376"/>
      <c r="F87" s="376"/>
      <c r="G87" s="376"/>
      <c r="H87" s="376"/>
      <c r="I87" s="377"/>
      <c r="J87" s="362" t="s">
        <v>128</v>
      </c>
      <c r="K87" s="364"/>
      <c r="L87" s="340" t="s">
        <v>143</v>
      </c>
      <c r="M87" s="378"/>
      <c r="N87" s="378"/>
      <c r="O87" s="341"/>
      <c r="P87" s="379" t="s">
        <v>144</v>
      </c>
      <c r="Q87" s="380"/>
      <c r="R87" s="42"/>
      <c r="S87" s="42"/>
      <c r="T87" s="42"/>
    </row>
    <row r="88" spans="1:20" ht="18" customHeight="1" thickBot="1" x14ac:dyDescent="0.35">
      <c r="A88" s="42"/>
      <c r="B88" s="42"/>
      <c r="C88" s="42"/>
      <c r="D88" s="352" t="s">
        <v>151</v>
      </c>
      <c r="E88" s="353"/>
      <c r="F88" s="353"/>
      <c r="G88" s="353"/>
      <c r="H88" s="353"/>
      <c r="I88" s="354"/>
      <c r="J88" s="355">
        <v>1</v>
      </c>
      <c r="K88" s="356"/>
      <c r="L88" s="357">
        <v>176</v>
      </c>
      <c r="M88" s="358"/>
      <c r="N88" s="358"/>
      <c r="O88" s="359"/>
      <c r="P88" s="360">
        <f>J88*L88</f>
        <v>176</v>
      </c>
      <c r="Q88" s="361"/>
      <c r="R88" s="42"/>
      <c r="S88" s="42"/>
      <c r="T88" s="42"/>
    </row>
    <row r="89" spans="1:20" ht="18" customHeight="1" thickBot="1" x14ac:dyDescent="0.35">
      <c r="A89" s="42"/>
      <c r="B89" s="42"/>
      <c r="C89" s="42"/>
      <c r="D89" s="352"/>
      <c r="E89" s="353"/>
      <c r="F89" s="353"/>
      <c r="G89" s="353"/>
      <c r="H89" s="353"/>
      <c r="I89" s="354"/>
      <c r="J89" s="355"/>
      <c r="K89" s="356"/>
      <c r="L89" s="357"/>
      <c r="M89" s="358"/>
      <c r="N89" s="358"/>
      <c r="O89" s="359"/>
      <c r="P89" s="360">
        <f>J89*L89</f>
        <v>0</v>
      </c>
      <c r="Q89" s="361"/>
      <c r="R89" s="42"/>
      <c r="S89" s="42"/>
      <c r="T89" s="42"/>
    </row>
    <row r="90" spans="1:20" ht="18" customHeight="1" thickBot="1" x14ac:dyDescent="0.35">
      <c r="A90" s="42"/>
      <c r="B90" s="42"/>
      <c r="C90" s="42"/>
      <c r="D90" s="352"/>
      <c r="E90" s="353"/>
      <c r="F90" s="353"/>
      <c r="G90" s="353"/>
      <c r="H90" s="353"/>
      <c r="I90" s="354"/>
      <c r="J90" s="355"/>
      <c r="K90" s="356"/>
      <c r="L90" s="357"/>
      <c r="M90" s="358"/>
      <c r="N90" s="358"/>
      <c r="O90" s="359"/>
      <c r="P90" s="360">
        <f>J90*L90</f>
        <v>0</v>
      </c>
      <c r="Q90" s="361"/>
      <c r="R90" s="42"/>
      <c r="S90" s="42"/>
      <c r="T90" s="42"/>
    </row>
    <row r="91" spans="1:20" ht="18" customHeight="1" thickBot="1" x14ac:dyDescent="0.35">
      <c r="A91" s="42"/>
      <c r="B91" s="42"/>
      <c r="C91" s="42"/>
      <c r="D91" s="352"/>
      <c r="E91" s="353"/>
      <c r="F91" s="353"/>
      <c r="G91" s="353"/>
      <c r="H91" s="353"/>
      <c r="I91" s="354"/>
      <c r="J91" s="355"/>
      <c r="K91" s="356"/>
      <c r="L91" s="357"/>
      <c r="M91" s="358"/>
      <c r="N91" s="358"/>
      <c r="O91" s="359"/>
      <c r="P91" s="360">
        <f t="shared" ref="P91:P93" si="3">J91*L91</f>
        <v>0</v>
      </c>
      <c r="Q91" s="361"/>
      <c r="R91" s="42"/>
      <c r="S91" s="42"/>
      <c r="T91" s="42"/>
    </row>
    <row r="92" spans="1:20" ht="18" customHeight="1" thickBot="1" x14ac:dyDescent="0.35">
      <c r="A92" s="42"/>
      <c r="B92" s="42"/>
      <c r="C92" s="42"/>
      <c r="D92" s="352"/>
      <c r="E92" s="353"/>
      <c r="F92" s="353"/>
      <c r="G92" s="353"/>
      <c r="H92" s="353"/>
      <c r="I92" s="354"/>
      <c r="J92" s="355"/>
      <c r="K92" s="356"/>
      <c r="L92" s="357"/>
      <c r="M92" s="358"/>
      <c r="N92" s="358"/>
      <c r="O92" s="359"/>
      <c r="P92" s="360">
        <f t="shared" si="3"/>
        <v>0</v>
      </c>
      <c r="Q92" s="361"/>
      <c r="R92" s="42"/>
      <c r="S92" s="42"/>
      <c r="T92" s="42"/>
    </row>
    <row r="93" spans="1:20" ht="18" customHeight="1" thickBot="1" x14ac:dyDescent="0.35">
      <c r="A93" s="42"/>
      <c r="B93" s="42"/>
      <c r="C93" s="42"/>
      <c r="D93" s="352"/>
      <c r="E93" s="353"/>
      <c r="F93" s="353"/>
      <c r="G93" s="353"/>
      <c r="H93" s="353"/>
      <c r="I93" s="354"/>
      <c r="J93" s="355"/>
      <c r="K93" s="356"/>
      <c r="L93" s="357"/>
      <c r="M93" s="358"/>
      <c r="N93" s="358"/>
      <c r="O93" s="359"/>
      <c r="P93" s="360">
        <f t="shared" si="3"/>
        <v>0</v>
      </c>
      <c r="Q93" s="361"/>
      <c r="R93" s="42"/>
      <c r="S93" s="42"/>
      <c r="T93" s="42"/>
    </row>
    <row r="94" spans="1:20" ht="18" customHeight="1" thickBot="1" x14ac:dyDescent="0.35">
      <c r="A94" s="42"/>
      <c r="B94" s="42"/>
      <c r="C94" s="42"/>
      <c r="D94" s="362" t="s">
        <v>146</v>
      </c>
      <c r="E94" s="363"/>
      <c r="F94" s="363"/>
      <c r="G94" s="363"/>
      <c r="H94" s="363"/>
      <c r="I94" s="363"/>
      <c r="J94" s="363"/>
      <c r="K94" s="363"/>
      <c r="L94" s="363"/>
      <c r="M94" s="364"/>
      <c r="N94" s="365">
        <f>SUM(P88:Q93)</f>
        <v>176</v>
      </c>
      <c r="O94" s="366"/>
      <c r="P94" s="366"/>
      <c r="Q94" s="367"/>
      <c r="R94" s="42"/>
      <c r="S94" s="42"/>
      <c r="T94" s="42"/>
    </row>
    <row r="95" spans="1:20" ht="30" customHeight="1" x14ac:dyDescent="0.3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</row>
    <row r="96" spans="1:20" ht="30" customHeight="1" thickBot="1" x14ac:dyDescent="0.35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</row>
    <row r="97" spans="1:25" ht="30" customHeight="1" thickBot="1" x14ac:dyDescent="0.35">
      <c r="A97" s="42"/>
      <c r="B97" s="42"/>
      <c r="C97" s="42"/>
      <c r="D97" s="335" t="s">
        <v>153</v>
      </c>
      <c r="E97" s="336"/>
      <c r="F97" s="336"/>
      <c r="G97" s="336"/>
      <c r="H97" s="336"/>
      <c r="I97" s="336"/>
      <c r="J97" s="336"/>
      <c r="K97" s="336"/>
      <c r="L97" s="336"/>
      <c r="M97" s="336"/>
      <c r="N97" s="336"/>
      <c r="O97" s="337"/>
      <c r="P97" s="42"/>
      <c r="Q97" s="42"/>
      <c r="R97" s="42"/>
      <c r="S97" s="42"/>
      <c r="T97" s="42"/>
    </row>
    <row r="98" spans="1:25" ht="63" customHeight="1" thickBot="1" x14ac:dyDescent="0.35">
      <c r="A98" s="42"/>
      <c r="B98" s="42"/>
      <c r="C98" s="42"/>
      <c r="D98" s="338" t="s">
        <v>154</v>
      </c>
      <c r="E98" s="339"/>
      <c r="F98" s="340" t="s">
        <v>155</v>
      </c>
      <c r="G98" s="341"/>
      <c r="H98" s="340" t="s">
        <v>156</v>
      </c>
      <c r="I98" s="341"/>
      <c r="J98" s="43" t="s">
        <v>157</v>
      </c>
      <c r="K98" s="43" t="s">
        <v>158</v>
      </c>
      <c r="L98" s="407" t="s">
        <v>66</v>
      </c>
      <c r="M98" s="408"/>
      <c r="N98" s="342" t="s">
        <v>159</v>
      </c>
      <c r="O98" s="343"/>
      <c r="P98" s="42"/>
      <c r="Q98" s="42"/>
      <c r="R98" s="42"/>
      <c r="S98" s="42"/>
      <c r="T98" s="42"/>
    </row>
    <row r="99" spans="1:25" ht="30" customHeight="1" thickBot="1" x14ac:dyDescent="0.35">
      <c r="A99" s="42"/>
      <c r="B99" s="42"/>
      <c r="C99" s="42"/>
      <c r="D99" s="344" t="s">
        <v>160</v>
      </c>
      <c r="E99" s="345"/>
      <c r="F99" s="346">
        <v>1</v>
      </c>
      <c r="G99" s="347"/>
      <c r="H99" s="348">
        <f>1-F99</f>
        <v>0</v>
      </c>
      <c r="I99" s="349"/>
      <c r="J99" s="129">
        <f>(1*F99+1.5*H99)</f>
        <v>1</v>
      </c>
      <c r="K99" s="130">
        <f>($N$32/$N$40)*J99</f>
        <v>57.556459330143539</v>
      </c>
      <c r="L99" s="350">
        <f>($N$58/$N$67)*J99</f>
        <v>56.81818181818182</v>
      </c>
      <c r="M99" s="351"/>
      <c r="N99" s="350">
        <f>($N$85/$N$94)*J99</f>
        <v>45.454545454545453</v>
      </c>
      <c r="O99" s="351"/>
      <c r="P99" s="42"/>
      <c r="Q99" s="42"/>
      <c r="R99" s="42"/>
      <c r="S99" s="42"/>
      <c r="T99" s="42"/>
      <c r="W99" s="132" t="s">
        <v>161</v>
      </c>
      <c r="X99" s="132"/>
      <c r="Y99" s="132">
        <v>8</v>
      </c>
    </row>
    <row r="100" spans="1:25" ht="30" customHeight="1" thickBot="1" x14ac:dyDescent="0.35">
      <c r="A100" s="42"/>
      <c r="B100" s="42"/>
      <c r="C100" s="42"/>
      <c r="D100" s="344" t="s">
        <v>162</v>
      </c>
      <c r="E100" s="345"/>
      <c r="F100" s="346">
        <v>0.7</v>
      </c>
      <c r="G100" s="347"/>
      <c r="H100" s="348">
        <f>1-F100</f>
        <v>0.30000000000000004</v>
      </c>
      <c r="I100" s="349"/>
      <c r="J100" s="131">
        <f>(1*F100+1.5*H100)</f>
        <v>1.1499999999999999</v>
      </c>
      <c r="K100" s="130">
        <f t="shared" ref="K100:K101" si="4">($N$32/$N$40)*J100</f>
        <v>66.189928229665071</v>
      </c>
      <c r="L100" s="350">
        <f t="shared" ref="L100:L101" si="5">($N$58/$N$67)*J100</f>
        <v>65.340909090909093</v>
      </c>
      <c r="M100" s="351"/>
      <c r="N100" s="350"/>
      <c r="O100" s="351"/>
      <c r="P100" s="42"/>
      <c r="Q100" s="42"/>
      <c r="R100" s="42"/>
      <c r="S100" s="42"/>
      <c r="T100" s="42"/>
      <c r="W100" s="132" t="s">
        <v>163</v>
      </c>
      <c r="X100" s="132"/>
      <c r="Y100" s="132">
        <v>9</v>
      </c>
    </row>
    <row r="101" spans="1:25" ht="30" customHeight="1" thickBot="1" x14ac:dyDescent="0.35">
      <c r="A101" s="42"/>
      <c r="B101" s="42"/>
      <c r="C101" s="42"/>
      <c r="D101" s="344" t="s">
        <v>164</v>
      </c>
      <c r="E101" s="345"/>
      <c r="F101" s="346">
        <v>0.6</v>
      </c>
      <c r="G101" s="347"/>
      <c r="H101" s="348">
        <f>1-F101</f>
        <v>0.4</v>
      </c>
      <c r="I101" s="349"/>
      <c r="J101" s="131">
        <f>(F101*1+H101*1.5)</f>
        <v>1.2000000000000002</v>
      </c>
      <c r="K101" s="130">
        <f t="shared" si="4"/>
        <v>69.067751196172253</v>
      </c>
      <c r="L101" s="350">
        <f t="shared" si="5"/>
        <v>68.181818181818201</v>
      </c>
      <c r="M101" s="351"/>
      <c r="N101" s="350"/>
      <c r="O101" s="351"/>
      <c r="P101" s="42"/>
      <c r="Q101" s="42"/>
      <c r="R101" s="42"/>
      <c r="S101" s="42"/>
      <c r="T101" s="42"/>
      <c r="W101" s="132" t="s">
        <v>165</v>
      </c>
      <c r="X101" s="132"/>
      <c r="Y101" s="132">
        <v>11</v>
      </c>
    </row>
    <row r="102" spans="1:25" ht="30" customHeight="1" x14ac:dyDescent="0.3">
      <c r="A102" s="42"/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</row>
    <row r="103" spans="1:25" ht="30" customHeight="1" thickBot="1" x14ac:dyDescent="0.35">
      <c r="A103" s="42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</row>
    <row r="104" spans="1:25" ht="30" customHeight="1" thickBot="1" x14ac:dyDescent="0.35">
      <c r="A104" s="42"/>
      <c r="B104" s="42"/>
      <c r="C104" s="42"/>
      <c r="D104" s="415" t="s">
        <v>166</v>
      </c>
      <c r="E104" s="416"/>
      <c r="F104" s="416"/>
      <c r="G104" s="416"/>
      <c r="H104" s="416"/>
      <c r="I104" s="416"/>
      <c r="J104" s="416"/>
      <c r="K104" s="416"/>
      <c r="L104" s="416"/>
      <c r="M104" s="416"/>
      <c r="N104" s="416"/>
      <c r="O104" s="416"/>
      <c r="P104" s="416"/>
      <c r="Q104" s="417"/>
      <c r="R104" s="42"/>
      <c r="S104" s="42"/>
      <c r="T104" s="42"/>
    </row>
    <row r="105" spans="1:25" ht="33.75" customHeight="1" thickBot="1" x14ac:dyDescent="0.35">
      <c r="A105" s="42"/>
      <c r="B105" s="42"/>
      <c r="C105" s="42"/>
      <c r="D105" s="391" t="s">
        <v>167</v>
      </c>
      <c r="E105" s="391"/>
      <c r="F105" s="391"/>
      <c r="G105" s="391"/>
      <c r="H105" s="391"/>
      <c r="I105" s="391"/>
      <c r="J105" s="406" t="s">
        <v>168</v>
      </c>
      <c r="K105" s="406"/>
      <c r="L105" s="390" t="s">
        <v>169</v>
      </c>
      <c r="M105" s="370"/>
      <c r="N105" s="370"/>
      <c r="O105" s="371"/>
      <c r="P105" s="406" t="s">
        <v>31</v>
      </c>
      <c r="Q105" s="406"/>
      <c r="R105" s="42"/>
      <c r="S105" s="42"/>
      <c r="T105" s="42"/>
    </row>
    <row r="106" spans="1:25" ht="30" customHeight="1" thickBot="1" x14ac:dyDescent="0.35">
      <c r="A106" s="42"/>
      <c r="B106" s="42"/>
      <c r="C106" s="42"/>
      <c r="D106" s="344" t="s">
        <v>45</v>
      </c>
      <c r="E106" s="418"/>
      <c r="F106" s="418"/>
      <c r="G106" s="418"/>
      <c r="H106" s="418"/>
      <c r="I106" s="345"/>
      <c r="J106" s="381">
        <v>1250000</v>
      </c>
      <c r="K106" s="383"/>
      <c r="L106" s="381">
        <v>200000</v>
      </c>
      <c r="M106" s="382"/>
      <c r="N106" s="382"/>
      <c r="O106" s="383"/>
      <c r="P106" s="419">
        <f>L106/J106</f>
        <v>0.16</v>
      </c>
      <c r="Q106" s="419"/>
      <c r="R106" s="42"/>
      <c r="S106" s="42"/>
      <c r="T106" s="42"/>
    </row>
    <row r="107" spans="1:25" ht="30" customHeight="1" x14ac:dyDescent="0.3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</row>
    <row r="108" spans="1:25" ht="30" customHeight="1" x14ac:dyDescent="0.3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</row>
    <row r="109" spans="1:25" ht="30" customHeight="1" x14ac:dyDescent="0.3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</row>
    <row r="110" spans="1:25" ht="30" customHeight="1" x14ac:dyDescent="0.3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</row>
    <row r="111" spans="1:25" ht="30" customHeight="1" x14ac:dyDescent="0.3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</row>
    <row r="112" spans="1:25" x14ac:dyDescent="0.3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</row>
    <row r="113" spans="1:20" x14ac:dyDescent="0.3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</row>
    <row r="114" spans="1:20" x14ac:dyDescent="0.3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</row>
    <row r="115" spans="1:20" x14ac:dyDescent="0.3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</row>
    <row r="116" spans="1:20" x14ac:dyDescent="0.3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</row>
    <row r="117" spans="1:20" x14ac:dyDescent="0.3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</row>
    <row r="118" spans="1:20" x14ac:dyDescent="0.3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</row>
    <row r="119" spans="1:20" x14ac:dyDescent="0.3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</row>
    <row r="120" spans="1:20" x14ac:dyDescent="0.3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</row>
    <row r="121" spans="1:20" x14ac:dyDescent="0.3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</row>
    <row r="122" spans="1:20" x14ac:dyDescent="0.3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</row>
    <row r="123" spans="1:20" x14ac:dyDescent="0.3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</row>
  </sheetData>
  <sheetProtection selectLockedCells="1"/>
  <mergeCells count="323">
    <mergeCell ref="A1:T4"/>
    <mergeCell ref="J9:K9"/>
    <mergeCell ref="L9:M9"/>
    <mergeCell ref="N9:O9"/>
    <mergeCell ref="D9:I9"/>
    <mergeCell ref="P9:Q9"/>
    <mergeCell ref="D7:Q8"/>
    <mergeCell ref="D10:I10"/>
    <mergeCell ref="D11:I11"/>
    <mergeCell ref="D12:I12"/>
    <mergeCell ref="D13:I13"/>
    <mergeCell ref="D14:I14"/>
    <mergeCell ref="D104:Q104"/>
    <mergeCell ref="D106:I106"/>
    <mergeCell ref="J106:K106"/>
    <mergeCell ref="L106:O106"/>
    <mergeCell ref="P106:Q106"/>
    <mergeCell ref="D17:Q18"/>
    <mergeCell ref="L25:M25"/>
    <mergeCell ref="L26:M26"/>
    <mergeCell ref="J25:K25"/>
    <mergeCell ref="J26:K26"/>
    <mergeCell ref="N21:O21"/>
    <mergeCell ref="N22:O22"/>
    <mergeCell ref="N23:O23"/>
    <mergeCell ref="N24:O24"/>
    <mergeCell ref="N25:O25"/>
    <mergeCell ref="L20:M20"/>
    <mergeCell ref="L21:M21"/>
    <mergeCell ref="L22:M22"/>
    <mergeCell ref="D25:I25"/>
    <mergeCell ref="J29:M29"/>
    <mergeCell ref="P25:Q25"/>
    <mergeCell ref="P26:Q26"/>
    <mergeCell ref="P34:Q34"/>
    <mergeCell ref="D35:I35"/>
    <mergeCell ref="J35:K35"/>
    <mergeCell ref="P35:Q35"/>
    <mergeCell ref="D32:M32"/>
    <mergeCell ref="N32:Q32"/>
    <mergeCell ref="D31:I31"/>
    <mergeCell ref="N31:O31"/>
    <mergeCell ref="P31:Q31"/>
    <mergeCell ref="J31:M31"/>
    <mergeCell ref="N29:O29"/>
    <mergeCell ref="P29:Q29"/>
    <mergeCell ref="L35:O35"/>
    <mergeCell ref="D34:I34"/>
    <mergeCell ref="J34:K34"/>
    <mergeCell ref="D33:Q33"/>
    <mergeCell ref="D105:I105"/>
    <mergeCell ref="J105:K105"/>
    <mergeCell ref="L105:O105"/>
    <mergeCell ref="P105:Q105"/>
    <mergeCell ref="J28:M28"/>
    <mergeCell ref="D26:I26"/>
    <mergeCell ref="D27:I27"/>
    <mergeCell ref="D28:I28"/>
    <mergeCell ref="D29:I29"/>
    <mergeCell ref="D30:I30"/>
    <mergeCell ref="N30:O30"/>
    <mergeCell ref="P30:Q30"/>
    <mergeCell ref="N26:O26"/>
    <mergeCell ref="N28:O28"/>
    <mergeCell ref="P28:Q28"/>
    <mergeCell ref="J27:K27"/>
    <mergeCell ref="L27:M27"/>
    <mergeCell ref="N27:O27"/>
    <mergeCell ref="P27:Q27"/>
    <mergeCell ref="D40:M40"/>
    <mergeCell ref="N40:Q40"/>
    <mergeCell ref="L98:M98"/>
    <mergeCell ref="L34:O34"/>
    <mergeCell ref="J30:M30"/>
    <mergeCell ref="D19:I19"/>
    <mergeCell ref="L19:M19"/>
    <mergeCell ref="L23:M23"/>
    <mergeCell ref="J19:K19"/>
    <mergeCell ref="P19:Q19"/>
    <mergeCell ref="L24:M24"/>
    <mergeCell ref="N19:O19"/>
    <mergeCell ref="J20:K20"/>
    <mergeCell ref="N20:O20"/>
    <mergeCell ref="J23:K23"/>
    <mergeCell ref="J24:K24"/>
    <mergeCell ref="J21:K21"/>
    <mergeCell ref="J22:K22"/>
    <mergeCell ref="D20:I20"/>
    <mergeCell ref="D21:I21"/>
    <mergeCell ref="D22:I22"/>
    <mergeCell ref="D23:I23"/>
    <mergeCell ref="D24:I24"/>
    <mergeCell ref="P20:Q20"/>
    <mergeCell ref="P21:Q21"/>
    <mergeCell ref="P22:Q22"/>
    <mergeCell ref="P23:Q23"/>
    <mergeCell ref="P24:Q24"/>
    <mergeCell ref="L36:O36"/>
    <mergeCell ref="L37:O37"/>
    <mergeCell ref="L38:O38"/>
    <mergeCell ref="L39:O39"/>
    <mergeCell ref="D38:I38"/>
    <mergeCell ref="J38:K38"/>
    <mergeCell ref="P38:Q38"/>
    <mergeCell ref="D39:I39"/>
    <mergeCell ref="J39:K39"/>
    <mergeCell ref="P39:Q39"/>
    <mergeCell ref="D36:I36"/>
    <mergeCell ref="J36:K36"/>
    <mergeCell ref="P36:Q36"/>
    <mergeCell ref="D37:I37"/>
    <mergeCell ref="J37:K37"/>
    <mergeCell ref="P37:Q37"/>
    <mergeCell ref="L101:M101"/>
    <mergeCell ref="L99:M99"/>
    <mergeCell ref="L100:M100"/>
    <mergeCell ref="D100:E100"/>
    <mergeCell ref="F100:G100"/>
    <mergeCell ref="H100:I100"/>
    <mergeCell ref="N100:O100"/>
    <mergeCell ref="D101:E101"/>
    <mergeCell ref="F101:G101"/>
    <mergeCell ref="H101:I101"/>
    <mergeCell ref="N101:O101"/>
    <mergeCell ref="D43:Q44"/>
    <mergeCell ref="D45:I45"/>
    <mergeCell ref="J45:K45"/>
    <mergeCell ref="L45:M45"/>
    <mergeCell ref="N45:O45"/>
    <mergeCell ref="P45:Q45"/>
    <mergeCell ref="D46:I46"/>
    <mergeCell ref="J46:K46"/>
    <mergeCell ref="L46:M46"/>
    <mergeCell ref="N46:O46"/>
    <mergeCell ref="P46:Q46"/>
    <mergeCell ref="D47:I47"/>
    <mergeCell ref="J47:K47"/>
    <mergeCell ref="L47:M47"/>
    <mergeCell ref="N47:O47"/>
    <mergeCell ref="P47:Q47"/>
    <mergeCell ref="D48:I48"/>
    <mergeCell ref="J48:K48"/>
    <mergeCell ref="L48:M48"/>
    <mergeCell ref="N48:O48"/>
    <mergeCell ref="P48:Q48"/>
    <mergeCell ref="D49:I49"/>
    <mergeCell ref="J49:K49"/>
    <mergeCell ref="L49:M49"/>
    <mergeCell ref="N49:O49"/>
    <mergeCell ref="P49:Q49"/>
    <mergeCell ref="D50:I50"/>
    <mergeCell ref="J50:K50"/>
    <mergeCell ref="L50:M50"/>
    <mergeCell ref="N50:O50"/>
    <mergeCell ref="P50:Q50"/>
    <mergeCell ref="D51:I51"/>
    <mergeCell ref="J51:K51"/>
    <mergeCell ref="L51:M51"/>
    <mergeCell ref="N51:O51"/>
    <mergeCell ref="P51:Q51"/>
    <mergeCell ref="D52:I52"/>
    <mergeCell ref="J52:K52"/>
    <mergeCell ref="L52:M52"/>
    <mergeCell ref="N52:O52"/>
    <mergeCell ref="P52:Q52"/>
    <mergeCell ref="D53:I53"/>
    <mergeCell ref="J53:K53"/>
    <mergeCell ref="L53:M53"/>
    <mergeCell ref="N53:O53"/>
    <mergeCell ref="P53:Q53"/>
    <mergeCell ref="D54:I54"/>
    <mergeCell ref="J54:M54"/>
    <mergeCell ref="N54:O54"/>
    <mergeCell ref="P54:Q54"/>
    <mergeCell ref="D55:I55"/>
    <mergeCell ref="J55:M55"/>
    <mergeCell ref="N55:O55"/>
    <mergeCell ref="P55:Q55"/>
    <mergeCell ref="D56:I56"/>
    <mergeCell ref="J56:M56"/>
    <mergeCell ref="N56:O56"/>
    <mergeCell ref="P56:Q56"/>
    <mergeCell ref="D57:I57"/>
    <mergeCell ref="J57:M57"/>
    <mergeCell ref="N57:O57"/>
    <mergeCell ref="P57:Q57"/>
    <mergeCell ref="D58:M58"/>
    <mergeCell ref="N58:Q58"/>
    <mergeCell ref="D59:Q59"/>
    <mergeCell ref="D60:I60"/>
    <mergeCell ref="J60:K60"/>
    <mergeCell ref="L60:O60"/>
    <mergeCell ref="P60:Q60"/>
    <mergeCell ref="D61:I61"/>
    <mergeCell ref="J61:K61"/>
    <mergeCell ref="L61:O61"/>
    <mergeCell ref="P61:Q61"/>
    <mergeCell ref="D62:I62"/>
    <mergeCell ref="J62:K62"/>
    <mergeCell ref="L62:O62"/>
    <mergeCell ref="P62:Q62"/>
    <mergeCell ref="D63:I63"/>
    <mergeCell ref="J63:K63"/>
    <mergeCell ref="L63:O63"/>
    <mergeCell ref="P63:Q63"/>
    <mergeCell ref="D64:I64"/>
    <mergeCell ref="J64:K64"/>
    <mergeCell ref="L64:O64"/>
    <mergeCell ref="P64:Q64"/>
    <mergeCell ref="D65:I65"/>
    <mergeCell ref="J65:K65"/>
    <mergeCell ref="L65:O65"/>
    <mergeCell ref="P65:Q65"/>
    <mergeCell ref="D66:I66"/>
    <mergeCell ref="J66:K66"/>
    <mergeCell ref="L66:O66"/>
    <mergeCell ref="P66:Q66"/>
    <mergeCell ref="D67:M67"/>
    <mergeCell ref="N67:Q67"/>
    <mergeCell ref="D70:Q71"/>
    <mergeCell ref="D72:I72"/>
    <mergeCell ref="J72:K72"/>
    <mergeCell ref="L72:M72"/>
    <mergeCell ref="N72:O72"/>
    <mergeCell ref="P72:Q72"/>
    <mergeCell ref="D73:I73"/>
    <mergeCell ref="J73:K73"/>
    <mergeCell ref="L73:M73"/>
    <mergeCell ref="N73:O73"/>
    <mergeCell ref="P73:Q73"/>
    <mergeCell ref="D74:I74"/>
    <mergeCell ref="J74:K74"/>
    <mergeCell ref="L74:M74"/>
    <mergeCell ref="N74:O74"/>
    <mergeCell ref="P74:Q74"/>
    <mergeCell ref="D75:I75"/>
    <mergeCell ref="J75:K75"/>
    <mergeCell ref="L75:M75"/>
    <mergeCell ref="N75:O75"/>
    <mergeCell ref="P75:Q75"/>
    <mergeCell ref="D76:I76"/>
    <mergeCell ref="J76:K76"/>
    <mergeCell ref="L76:M76"/>
    <mergeCell ref="N76:O76"/>
    <mergeCell ref="P76:Q76"/>
    <mergeCell ref="D77:I77"/>
    <mergeCell ref="J77:K77"/>
    <mergeCell ref="L77:M77"/>
    <mergeCell ref="N77:O77"/>
    <mergeCell ref="P77:Q77"/>
    <mergeCell ref="D78:I78"/>
    <mergeCell ref="J78:K78"/>
    <mergeCell ref="L78:M78"/>
    <mergeCell ref="N78:O78"/>
    <mergeCell ref="P78:Q78"/>
    <mergeCell ref="D79:I79"/>
    <mergeCell ref="J79:K79"/>
    <mergeCell ref="L79:M79"/>
    <mergeCell ref="N79:O79"/>
    <mergeCell ref="P79:Q79"/>
    <mergeCell ref="D80:I80"/>
    <mergeCell ref="J80:K80"/>
    <mergeCell ref="L80:M80"/>
    <mergeCell ref="N80:O80"/>
    <mergeCell ref="P80:Q80"/>
    <mergeCell ref="D81:I81"/>
    <mergeCell ref="J81:M81"/>
    <mergeCell ref="N81:O81"/>
    <mergeCell ref="P81:Q81"/>
    <mergeCell ref="D82:I82"/>
    <mergeCell ref="J82:M82"/>
    <mergeCell ref="N82:O82"/>
    <mergeCell ref="P82:Q82"/>
    <mergeCell ref="D83:I83"/>
    <mergeCell ref="J83:M83"/>
    <mergeCell ref="N83:O83"/>
    <mergeCell ref="P83:Q83"/>
    <mergeCell ref="D84:I84"/>
    <mergeCell ref="J84:M84"/>
    <mergeCell ref="N84:O84"/>
    <mergeCell ref="P84:Q84"/>
    <mergeCell ref="D85:M85"/>
    <mergeCell ref="N85:Q85"/>
    <mergeCell ref="D86:Q86"/>
    <mergeCell ref="D87:I87"/>
    <mergeCell ref="J87:K87"/>
    <mergeCell ref="L87:O87"/>
    <mergeCell ref="P87:Q87"/>
    <mergeCell ref="D88:I88"/>
    <mergeCell ref="J88:K88"/>
    <mergeCell ref="L88:O88"/>
    <mergeCell ref="P88:Q88"/>
    <mergeCell ref="D89:I89"/>
    <mergeCell ref="J89:K89"/>
    <mergeCell ref="L89:O89"/>
    <mergeCell ref="P89:Q89"/>
    <mergeCell ref="D90:I90"/>
    <mergeCell ref="J90:K90"/>
    <mergeCell ref="L90:O90"/>
    <mergeCell ref="P90:Q90"/>
    <mergeCell ref="D91:I91"/>
    <mergeCell ref="J91:K91"/>
    <mergeCell ref="L91:O91"/>
    <mergeCell ref="P91:Q91"/>
    <mergeCell ref="D92:I92"/>
    <mergeCell ref="J92:K92"/>
    <mergeCell ref="L92:O92"/>
    <mergeCell ref="P92:Q92"/>
    <mergeCell ref="D93:I93"/>
    <mergeCell ref="J93:K93"/>
    <mergeCell ref="L93:O93"/>
    <mergeCell ref="P93:Q93"/>
    <mergeCell ref="D94:M94"/>
    <mergeCell ref="N94:Q94"/>
    <mergeCell ref="D97:O97"/>
    <mergeCell ref="D98:E98"/>
    <mergeCell ref="F98:G98"/>
    <mergeCell ref="H98:I98"/>
    <mergeCell ref="N98:O98"/>
    <mergeCell ref="D99:E99"/>
    <mergeCell ref="F99:G99"/>
    <mergeCell ref="H99:I99"/>
    <mergeCell ref="N99:O99"/>
  </mergeCells>
  <dataValidations count="2">
    <dataValidation allowBlank="1" showInputMessage="1" showErrorMessage="1" errorTitle="Erro de preenchimento" error="somente valores entre 0% e 100%" sqref="H99:H101" xr:uid="{7BDAFBF3-E40A-4927-9E67-81BC4F9D6704}"/>
    <dataValidation type="decimal" allowBlank="1" showInputMessage="1" showErrorMessage="1" errorTitle="Erro de preenchimento" error="somente valores entre 0% e 100%" sqref="F99:F101" xr:uid="{10105169-610B-4B80-8462-F1514ABD66ED}">
      <formula1>0</formula1>
      <formula2>1</formula2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L81"/>
  <sheetViews>
    <sheetView showZeros="0" zoomScale="68" zoomScaleNormal="68" workbookViewId="0">
      <selection activeCell="B64" sqref="B64"/>
    </sheetView>
  </sheetViews>
  <sheetFormatPr defaultColWidth="9.44140625" defaultRowHeight="20.100000000000001" customHeight="1" x14ac:dyDescent="0.3"/>
  <cols>
    <col min="1" max="1" width="10.5546875" style="115" customWidth="1"/>
    <col min="2" max="2" width="59.5546875" style="115" customWidth="1"/>
    <col min="3" max="3" width="28.44140625" style="115" customWidth="1"/>
    <col min="4" max="4" width="35.44140625" style="115" customWidth="1"/>
    <col min="5" max="5" width="37.5546875" style="115" customWidth="1"/>
    <col min="6" max="6" width="38" style="115" customWidth="1"/>
    <col min="7" max="7" width="38.5546875" style="115" customWidth="1"/>
    <col min="8" max="8" width="14.109375" style="115" customWidth="1"/>
    <col min="9" max="12" width="9.44140625" style="115"/>
    <col min="13" max="16384" width="9.44140625" style="101"/>
  </cols>
  <sheetData>
    <row r="1" spans="1:12" ht="14.4" x14ac:dyDescent="0.3">
      <c r="A1" s="101"/>
      <c r="B1" s="427" t="s">
        <v>170</v>
      </c>
      <c r="C1" s="427"/>
      <c r="D1" s="427"/>
      <c r="E1" s="427"/>
      <c r="F1" s="427"/>
      <c r="G1" s="427"/>
      <c r="H1" s="427"/>
      <c r="I1" s="101"/>
      <c r="J1" s="101"/>
      <c r="K1" s="101"/>
      <c r="L1" s="101"/>
    </row>
    <row r="2" spans="1:12" ht="14.4" x14ac:dyDescent="0.3">
      <c r="A2" s="101"/>
      <c r="B2" s="427"/>
      <c r="C2" s="427"/>
      <c r="D2" s="427"/>
      <c r="E2" s="427"/>
      <c r="F2" s="427"/>
      <c r="G2" s="427"/>
      <c r="H2" s="427"/>
      <c r="I2" s="101"/>
      <c r="J2" s="101"/>
      <c r="K2" s="101"/>
      <c r="L2" s="101"/>
    </row>
    <row r="3" spans="1:12" ht="14.4" x14ac:dyDescent="0.3">
      <c r="A3" s="101"/>
      <c r="B3" s="427"/>
      <c r="C3" s="427"/>
      <c r="D3" s="427"/>
      <c r="E3" s="427"/>
      <c r="F3" s="427"/>
      <c r="G3" s="427"/>
      <c r="H3" s="427"/>
      <c r="I3" s="101"/>
      <c r="J3" s="101"/>
      <c r="K3" s="101"/>
      <c r="L3" s="101"/>
    </row>
    <row r="4" spans="1:12" ht="14.4" x14ac:dyDescent="0.3">
      <c r="A4" s="101"/>
      <c r="B4" s="427"/>
      <c r="C4" s="427"/>
      <c r="D4" s="427"/>
      <c r="E4" s="427"/>
      <c r="F4" s="427"/>
      <c r="G4" s="427"/>
      <c r="H4" s="427"/>
      <c r="I4" s="101"/>
      <c r="J4" s="101"/>
      <c r="K4" s="101"/>
      <c r="L4" s="101"/>
    </row>
    <row r="5" spans="1:12" ht="14.4" x14ac:dyDescent="0.3">
      <c r="A5" s="101"/>
      <c r="B5" s="427"/>
      <c r="C5" s="427"/>
      <c r="D5" s="427"/>
      <c r="E5" s="427"/>
      <c r="F5" s="427"/>
      <c r="G5" s="427"/>
      <c r="H5" s="427"/>
      <c r="I5" s="101"/>
      <c r="J5" s="101"/>
      <c r="K5" s="101"/>
      <c r="L5" s="101"/>
    </row>
    <row r="6" spans="1:12" ht="14.4" x14ac:dyDescent="0.3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</row>
    <row r="7" spans="1:12" ht="14.4" x14ac:dyDescent="0.3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</row>
    <row r="8" spans="1:12" ht="14.4" x14ac:dyDescent="0.3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</row>
    <row r="9" spans="1:12" ht="15" thickBot="1" x14ac:dyDescent="0.3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</row>
    <row r="10" spans="1:12" ht="61.5" customHeight="1" thickTop="1" thickBot="1" x14ac:dyDescent="0.35">
      <c r="A10" s="432" t="s">
        <v>171</v>
      </c>
      <c r="B10" s="432"/>
      <c r="C10" s="432"/>
      <c r="D10" s="432"/>
      <c r="E10" s="432"/>
      <c r="F10" s="432"/>
      <c r="G10" s="432"/>
      <c r="H10" s="432"/>
      <c r="I10" s="432"/>
      <c r="J10" s="432"/>
      <c r="K10" s="432"/>
      <c r="L10" s="102"/>
    </row>
    <row r="11" spans="1:12" ht="37.5" customHeight="1" thickTop="1" x14ac:dyDescent="0.3">
      <c r="A11" s="73" t="s">
        <v>172</v>
      </c>
      <c r="B11" s="253" t="s">
        <v>173</v>
      </c>
      <c r="C11" s="254"/>
      <c r="D11" s="105" t="s">
        <v>174</v>
      </c>
      <c r="E11" s="105" t="s">
        <v>175</v>
      </c>
      <c r="F11" s="106" t="s">
        <v>176</v>
      </c>
      <c r="G11" s="37" t="s">
        <v>177</v>
      </c>
      <c r="H11" s="37" t="s">
        <v>178</v>
      </c>
      <c r="I11" s="116"/>
      <c r="J11" s="116"/>
      <c r="K11" s="116"/>
      <c r="L11" s="116"/>
    </row>
    <row r="12" spans="1:12" ht="15.6" x14ac:dyDescent="0.3">
      <c r="A12" s="20"/>
      <c r="B12" s="433"/>
      <c r="C12" s="434"/>
      <c r="D12" s="38"/>
      <c r="E12" s="21"/>
      <c r="F12" s="56">
        <f>(D12*A12)+(E12*A12)</f>
        <v>0</v>
      </c>
      <c r="G12" s="60" t="str">
        <f>IF(F12&lt;&gt;0,Dados!K99,"")</f>
        <v/>
      </c>
      <c r="H12" s="177" t="s">
        <v>158</v>
      </c>
      <c r="I12" s="116"/>
      <c r="J12" s="116"/>
      <c r="K12" s="116"/>
      <c r="L12" s="116"/>
    </row>
    <row r="13" spans="1:12" ht="15.6" x14ac:dyDescent="0.3">
      <c r="A13" s="22"/>
      <c r="B13" s="435"/>
      <c r="C13" s="436"/>
      <c r="D13" s="39"/>
      <c r="E13" s="23"/>
      <c r="F13" s="45">
        <f t="shared" ref="F13:F14" si="0">(D13*A13)+(E13*A13)</f>
        <v>0</v>
      </c>
      <c r="G13" s="61" t="str">
        <f>IF(F13&lt;&gt;0,Dados!L99,"")</f>
        <v/>
      </c>
      <c r="H13" s="178" t="s">
        <v>66</v>
      </c>
      <c r="I13" s="116"/>
      <c r="J13" s="116"/>
      <c r="K13" s="116"/>
      <c r="L13" s="116"/>
    </row>
    <row r="14" spans="1:12" ht="15.6" x14ac:dyDescent="0.3">
      <c r="A14" s="20"/>
      <c r="B14" s="433"/>
      <c r="C14" s="434"/>
      <c r="D14" s="18"/>
      <c r="E14" s="21"/>
      <c r="F14" s="56">
        <f t="shared" si="0"/>
        <v>0</v>
      </c>
      <c r="G14" s="60" t="str">
        <f>IF(F14&lt;&gt;0,Dados!N99,"")</f>
        <v/>
      </c>
      <c r="H14" s="177" t="s">
        <v>159</v>
      </c>
      <c r="I14" s="116"/>
      <c r="J14" s="116"/>
      <c r="K14" s="116"/>
      <c r="L14" s="116"/>
    </row>
    <row r="15" spans="1:12" ht="14.4" x14ac:dyDescent="0.3">
      <c r="A15" s="438">
        <f>SUM(A12:A14)</f>
        <v>0</v>
      </c>
      <c r="B15" s="253" t="s">
        <v>45</v>
      </c>
      <c r="C15" s="254"/>
      <c r="D15" s="275" t="str">
        <f>IFERROR(AVERAGE(D12:D14),"")</f>
        <v/>
      </c>
      <c r="E15" s="275">
        <f>SUM(E12:E14)</f>
        <v>0</v>
      </c>
      <c r="F15" s="277">
        <f>SUM(F12:F14)</f>
        <v>0</v>
      </c>
      <c r="G15" s="275" t="str">
        <f>IFERROR(AVERAGE(G12:G14),"")</f>
        <v/>
      </c>
      <c r="H15" s="116"/>
      <c r="I15" s="116"/>
      <c r="J15" s="116"/>
      <c r="K15" s="116"/>
      <c r="L15" s="116"/>
    </row>
    <row r="16" spans="1:12" ht="14.4" x14ac:dyDescent="0.3">
      <c r="A16" s="439"/>
      <c r="B16" s="255"/>
      <c r="C16" s="256"/>
      <c r="D16" s="276"/>
      <c r="E16" s="276"/>
      <c r="F16" s="278"/>
      <c r="G16" s="276"/>
      <c r="H16" s="116"/>
      <c r="I16" s="116"/>
      <c r="J16" s="116"/>
      <c r="K16" s="116"/>
      <c r="L16" s="116"/>
    </row>
    <row r="17" spans="1:12" ht="15" thickBot="1" x14ac:dyDescent="0.35">
      <c r="A17" s="116"/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6"/>
    </row>
    <row r="18" spans="1:12" ht="40.5" customHeight="1" thickTop="1" thickBot="1" x14ac:dyDescent="0.35">
      <c r="A18" s="430" t="s">
        <v>67</v>
      </c>
      <c r="B18" s="430"/>
      <c r="C18" s="430"/>
      <c r="D18" s="430"/>
      <c r="E18" s="430"/>
      <c r="F18" s="430"/>
      <c r="G18" s="430"/>
      <c r="H18" s="430"/>
      <c r="I18" s="430"/>
      <c r="J18" s="430"/>
      <c r="K18" s="430"/>
      <c r="L18" s="87"/>
    </row>
    <row r="19" spans="1:12" ht="15" thickTop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ht="21" x14ac:dyDescent="0.3">
      <c r="A20" s="6"/>
      <c r="B20" s="11" t="s">
        <v>30</v>
      </c>
      <c r="C20" s="12" t="s">
        <v>31</v>
      </c>
      <c r="D20" s="12" t="s">
        <v>68</v>
      </c>
      <c r="E20" s="6"/>
      <c r="F20" s="6"/>
      <c r="G20" s="6"/>
      <c r="H20" s="6"/>
      <c r="I20" s="6"/>
      <c r="J20" s="6"/>
      <c r="K20" s="6"/>
      <c r="L20" s="6"/>
    </row>
    <row r="21" spans="1:12" ht="14.4" x14ac:dyDescent="0.3">
      <c r="A21" s="6"/>
      <c r="B21" s="242" t="s">
        <v>69</v>
      </c>
      <c r="C21" s="437"/>
      <c r="D21" s="246">
        <f>IFERROR(F15,"")</f>
        <v>0</v>
      </c>
      <c r="E21" s="6"/>
      <c r="F21" s="6"/>
      <c r="G21" s="6"/>
      <c r="H21" s="6"/>
      <c r="I21" s="6"/>
      <c r="J21" s="6"/>
      <c r="K21" s="6"/>
      <c r="L21" s="6"/>
    </row>
    <row r="22" spans="1:12" ht="14.4" x14ac:dyDescent="0.3">
      <c r="A22" s="6"/>
      <c r="B22" s="242"/>
      <c r="C22" s="437"/>
      <c r="D22" s="246"/>
      <c r="E22" s="6"/>
      <c r="F22" s="6"/>
      <c r="G22" s="6"/>
      <c r="H22" s="6"/>
      <c r="I22" s="6"/>
      <c r="J22" s="6"/>
      <c r="K22" s="6"/>
      <c r="L22" s="6"/>
    </row>
    <row r="23" spans="1:12" ht="14.4" x14ac:dyDescent="0.3">
      <c r="A23" s="6"/>
      <c r="B23" s="242" t="s">
        <v>34</v>
      </c>
      <c r="C23" s="324">
        <v>0.15</v>
      </c>
      <c r="D23" s="247">
        <f>IFERROR(D21*C23,"")</f>
        <v>0</v>
      </c>
      <c r="E23" s="6"/>
      <c r="F23" s="6"/>
      <c r="G23" s="6"/>
      <c r="H23" s="6"/>
      <c r="I23" s="6"/>
      <c r="J23" s="6"/>
      <c r="K23" s="6"/>
      <c r="L23" s="6"/>
    </row>
    <row r="24" spans="1:12" ht="14.4" x14ac:dyDescent="0.3">
      <c r="A24" s="6"/>
      <c r="B24" s="242"/>
      <c r="C24" s="325"/>
      <c r="D24" s="247"/>
      <c r="E24" s="6"/>
      <c r="F24" s="6"/>
      <c r="G24" s="6"/>
      <c r="H24" s="6"/>
      <c r="I24" s="6"/>
      <c r="J24" s="6"/>
      <c r="K24" s="6"/>
      <c r="L24" s="6"/>
    </row>
    <row r="25" spans="1:12" ht="14.4" x14ac:dyDescent="0.3">
      <c r="A25" s="6"/>
      <c r="B25" s="235" t="s">
        <v>70</v>
      </c>
      <c r="C25" s="326" t="str">
        <f>IFERROR(D25/D21,"")</f>
        <v/>
      </c>
      <c r="D25" s="268"/>
      <c r="E25" s="6"/>
      <c r="F25" s="6"/>
      <c r="G25" s="6"/>
      <c r="H25" s="6"/>
      <c r="I25" s="6"/>
      <c r="J25" s="6"/>
      <c r="K25" s="6"/>
      <c r="L25" s="6"/>
    </row>
    <row r="26" spans="1:12" ht="14.4" x14ac:dyDescent="0.3">
      <c r="A26" s="6"/>
      <c r="B26" s="236"/>
      <c r="C26" s="327"/>
      <c r="D26" s="268"/>
      <c r="E26" s="6"/>
      <c r="F26" s="6"/>
      <c r="G26" s="6"/>
      <c r="H26" s="6"/>
      <c r="I26" s="6"/>
      <c r="J26" s="6"/>
      <c r="K26" s="6"/>
      <c r="L26" s="6"/>
    </row>
    <row r="27" spans="1:12" ht="14.4" x14ac:dyDescent="0.3">
      <c r="A27" s="6"/>
      <c r="B27" s="235" t="s">
        <v>35</v>
      </c>
      <c r="C27" s="428">
        <f>Dados!P106</f>
        <v>0.16</v>
      </c>
      <c r="D27" s="233">
        <f>IFERROR(D21*C27,"")</f>
        <v>0</v>
      </c>
      <c r="E27" s="6"/>
      <c r="F27" s="6"/>
      <c r="G27" s="6"/>
      <c r="H27" s="6"/>
      <c r="I27" s="6"/>
      <c r="J27" s="6"/>
      <c r="K27" s="6"/>
      <c r="L27" s="6"/>
    </row>
    <row r="28" spans="1:12" ht="14.4" x14ac:dyDescent="0.3">
      <c r="A28" s="6"/>
      <c r="B28" s="291"/>
      <c r="C28" s="429"/>
      <c r="D28" s="234"/>
      <c r="E28" s="6"/>
      <c r="F28" s="6"/>
      <c r="G28" s="6"/>
      <c r="H28" s="6"/>
      <c r="I28" s="6"/>
      <c r="J28" s="6"/>
      <c r="K28" s="6"/>
      <c r="L28" s="6"/>
    </row>
    <row r="29" spans="1:12" ht="14.4" x14ac:dyDescent="0.3">
      <c r="A29" s="6"/>
      <c r="B29" s="235" t="s">
        <v>71</v>
      </c>
      <c r="C29" s="428" t="str">
        <f>IFERROR(D29/D21,"")</f>
        <v/>
      </c>
      <c r="D29" s="233" t="str">
        <f>IFERROR(A15*G15,"")</f>
        <v/>
      </c>
      <c r="E29" s="6"/>
      <c r="F29" s="6"/>
      <c r="G29" s="6"/>
      <c r="H29" s="6"/>
      <c r="I29" s="6"/>
      <c r="J29" s="6"/>
      <c r="K29" s="6"/>
      <c r="L29" s="6"/>
    </row>
    <row r="30" spans="1:12" ht="14.4" x14ac:dyDescent="0.3">
      <c r="A30" s="6"/>
      <c r="B30" s="236"/>
      <c r="C30" s="429"/>
      <c r="D30" s="234"/>
      <c r="E30" s="6"/>
      <c r="F30" s="6"/>
      <c r="G30" s="6"/>
      <c r="H30" s="6"/>
      <c r="I30" s="6"/>
      <c r="J30" s="6"/>
      <c r="K30" s="6"/>
      <c r="L30" s="6"/>
    </row>
    <row r="31" spans="1:12" ht="14.4" x14ac:dyDescent="0.3">
      <c r="A31" s="6"/>
      <c r="B31" s="235" t="s">
        <v>36</v>
      </c>
      <c r="C31" s="324">
        <v>0.08</v>
      </c>
      <c r="D31" s="233" t="str">
        <f>IFERROR(($D$21-$D$23-$D$25-$D$27-$D$29)*C31,"")</f>
        <v/>
      </c>
      <c r="E31" s="6"/>
      <c r="F31" s="6"/>
      <c r="G31" s="6"/>
      <c r="H31" s="6"/>
      <c r="I31" s="6"/>
      <c r="J31" s="6"/>
      <c r="K31" s="6"/>
      <c r="L31" s="6"/>
    </row>
    <row r="32" spans="1:12" ht="14.4" x14ac:dyDescent="0.3">
      <c r="A32" s="6"/>
      <c r="B32" s="236"/>
      <c r="C32" s="325"/>
      <c r="D32" s="234"/>
      <c r="E32" s="6"/>
      <c r="F32" s="6"/>
      <c r="G32" s="6"/>
      <c r="H32" s="6"/>
      <c r="I32" s="6"/>
      <c r="J32" s="6"/>
      <c r="K32" s="6"/>
      <c r="L32" s="6"/>
    </row>
    <row r="33" spans="1:12" ht="15" customHeight="1" x14ac:dyDescent="0.3">
      <c r="A33" s="6"/>
      <c r="B33" s="235" t="s">
        <v>37</v>
      </c>
      <c r="C33" s="324">
        <v>0.08</v>
      </c>
      <c r="D33" s="233" t="str">
        <f>IFERROR(($D$21-$D$23-$D$25-$D$27-$D$29)*C33,"")</f>
        <v/>
      </c>
      <c r="E33" s="6"/>
      <c r="F33" s="6"/>
      <c r="G33" s="6"/>
      <c r="H33" s="6"/>
      <c r="I33" s="6"/>
      <c r="J33" s="6"/>
      <c r="K33" s="6"/>
      <c r="L33" s="6"/>
    </row>
    <row r="34" spans="1:12" ht="15" customHeight="1" x14ac:dyDescent="0.3">
      <c r="A34" s="6"/>
      <c r="B34" s="236"/>
      <c r="C34" s="325"/>
      <c r="D34" s="234"/>
      <c r="E34" s="6"/>
      <c r="F34" s="6"/>
      <c r="G34" s="6"/>
      <c r="H34" s="6"/>
      <c r="I34" s="6"/>
      <c r="J34" s="6"/>
      <c r="K34" s="6"/>
      <c r="L34" s="6"/>
    </row>
    <row r="35" spans="1:12" ht="15" customHeight="1" x14ac:dyDescent="0.3">
      <c r="A35" s="6"/>
      <c r="B35" s="235" t="s">
        <v>179</v>
      </c>
      <c r="C35" s="324">
        <v>0.08</v>
      </c>
      <c r="D35" s="233" t="str">
        <f>IFERROR(($D$21-$D$23-$D$25-$D$27-$D$29)*C35,"")</f>
        <v/>
      </c>
      <c r="E35" s="6"/>
      <c r="F35" s="6"/>
      <c r="G35" s="6"/>
      <c r="H35" s="6"/>
      <c r="I35" s="6"/>
      <c r="J35" s="6"/>
      <c r="K35" s="6"/>
      <c r="L35" s="6"/>
    </row>
    <row r="36" spans="1:12" ht="15" customHeight="1" x14ac:dyDescent="0.3">
      <c r="A36" s="6"/>
      <c r="B36" s="236"/>
      <c r="C36" s="325"/>
      <c r="D36" s="234"/>
      <c r="E36" s="6"/>
      <c r="F36" s="6"/>
      <c r="G36" s="6"/>
      <c r="H36" s="6"/>
      <c r="I36" s="6"/>
      <c r="J36" s="6"/>
      <c r="K36" s="6"/>
      <c r="L36" s="6"/>
    </row>
    <row r="37" spans="1:12" ht="14.4" x14ac:dyDescent="0.3">
      <c r="A37" s="6"/>
      <c r="B37" s="235" t="s">
        <v>40</v>
      </c>
      <c r="C37" s="330" t="str">
        <f>IFERROR(D37/F15,"")</f>
        <v/>
      </c>
      <c r="D37" s="262" t="str">
        <f>IFERROR(D21-D23-D25-D27-D29-D31-D33-D35,"")</f>
        <v/>
      </c>
      <c r="E37" s="6"/>
      <c r="F37" s="6"/>
      <c r="G37" s="6"/>
      <c r="H37" s="6"/>
      <c r="I37" s="6"/>
      <c r="J37" s="6"/>
      <c r="K37" s="6"/>
      <c r="L37" s="6"/>
    </row>
    <row r="38" spans="1:12" ht="14.4" x14ac:dyDescent="0.3">
      <c r="A38" s="6"/>
      <c r="B38" s="236"/>
      <c r="C38" s="331"/>
      <c r="D38" s="263"/>
      <c r="E38" s="6"/>
      <c r="F38" s="6"/>
      <c r="G38" s="6"/>
      <c r="H38" s="6"/>
      <c r="I38" s="6"/>
      <c r="J38" s="6"/>
      <c r="K38" s="6"/>
      <c r="L38" s="6"/>
    </row>
    <row r="39" spans="1:12" ht="14.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1:12" ht="14.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1:12" ht="15" customHeight="1" x14ac:dyDescent="0.3">
      <c r="B41" s="431"/>
      <c r="C41" s="431"/>
      <c r="D41" s="431"/>
      <c r="E41" s="431"/>
      <c r="F41" s="431"/>
      <c r="G41" s="431"/>
      <c r="H41" s="114"/>
      <c r="I41" s="114"/>
      <c r="J41" s="114"/>
      <c r="K41" s="114"/>
      <c r="L41" s="114"/>
    </row>
    <row r="42" spans="1:12" ht="15" customHeight="1" x14ac:dyDescent="0.3">
      <c r="A42" s="114"/>
      <c r="B42" s="431"/>
      <c r="C42" s="431"/>
      <c r="D42" s="431"/>
      <c r="E42" s="431"/>
      <c r="F42" s="431"/>
      <c r="G42" s="431"/>
      <c r="H42" s="114"/>
      <c r="I42" s="114"/>
      <c r="J42" s="114"/>
      <c r="K42" s="114"/>
      <c r="L42" s="114"/>
    </row>
    <row r="43" spans="1:12" ht="15" customHeight="1" x14ac:dyDescent="0.3">
      <c r="A43" s="114"/>
      <c r="B43" s="431"/>
      <c r="C43" s="431"/>
      <c r="D43" s="431"/>
      <c r="E43" s="431"/>
      <c r="F43" s="431"/>
      <c r="G43" s="431"/>
      <c r="H43" s="114"/>
      <c r="I43" s="114"/>
      <c r="J43" s="114"/>
      <c r="K43" s="114"/>
      <c r="L43" s="114"/>
    </row>
    <row r="44" spans="1:12" ht="15" customHeight="1" x14ac:dyDescent="0.3">
      <c r="A44" s="114"/>
      <c r="B44" s="431"/>
      <c r="C44" s="431"/>
      <c r="D44" s="431"/>
      <c r="E44" s="431"/>
      <c r="F44" s="431"/>
      <c r="G44" s="431"/>
      <c r="H44" s="114"/>
      <c r="I44" s="114"/>
      <c r="J44" s="114"/>
      <c r="K44" s="114"/>
      <c r="L44" s="114"/>
    </row>
    <row r="45" spans="1:12" ht="20.100000000000001" customHeight="1" x14ac:dyDescent="0.3">
      <c r="B45" s="104" t="s">
        <v>180</v>
      </c>
      <c r="C45" s="104" t="s">
        <v>181</v>
      </c>
      <c r="D45" s="104" t="s">
        <v>182</v>
      </c>
      <c r="E45" s="104" t="s">
        <v>183</v>
      </c>
      <c r="F45" s="104" t="s">
        <v>184</v>
      </c>
      <c r="G45" s="104" t="s">
        <v>185</v>
      </c>
    </row>
    <row r="46" spans="1:12" ht="20.100000000000001" customHeight="1" x14ac:dyDescent="0.35">
      <c r="B46" s="109" t="s">
        <v>186</v>
      </c>
      <c r="C46" s="107">
        <v>40</v>
      </c>
      <c r="D46" s="108">
        <v>350</v>
      </c>
      <c r="E46" s="110">
        <v>5591.88</v>
      </c>
      <c r="F46" s="111">
        <f>Tabela2[[#This Row],[Quantidade horas]]*Tabela2[[#This Row],[Valor da hora trabalhada]]</f>
        <v>14000</v>
      </c>
      <c r="G46" s="112">
        <f>IFERROR(Tabela2[[#This Row],[Lucro estimado por serviço]]/Tabela2[[#This Row],[Preço sugerido]],"")</f>
        <v>0.39942</v>
      </c>
    </row>
    <row r="47" spans="1:12" ht="20.100000000000001" customHeight="1" x14ac:dyDescent="0.35">
      <c r="B47" s="109" t="s">
        <v>187</v>
      </c>
      <c r="C47" s="107">
        <v>38</v>
      </c>
      <c r="D47" s="108">
        <v>350</v>
      </c>
      <c r="E47" s="110"/>
      <c r="F47" s="113">
        <f>Tabela2[[#This Row],[Quantidade horas]]*Tabela2[[#This Row],[Valor da hora trabalhada]]</f>
        <v>13300</v>
      </c>
      <c r="G47" s="112">
        <f>IFERROR(Tabela2[[#This Row],[Lucro estimado por serviço]]/Tabela2[[#This Row],[Preço sugerido]],"")</f>
        <v>0</v>
      </c>
    </row>
    <row r="48" spans="1:12" ht="20.100000000000001" customHeight="1" x14ac:dyDescent="0.35">
      <c r="B48" s="109" t="s">
        <v>188</v>
      </c>
      <c r="C48" s="107">
        <v>38</v>
      </c>
      <c r="D48" s="108">
        <v>350</v>
      </c>
      <c r="E48" s="110"/>
      <c r="F48" s="113">
        <f>Tabela2[[#This Row],[Quantidade horas]]*Tabela2[[#This Row],[Valor da hora trabalhada]]</f>
        <v>13300</v>
      </c>
      <c r="G48" s="112">
        <f>IFERROR(Tabela2[[#This Row],[Lucro estimado por serviço]]/Tabela2[[#This Row],[Preço sugerido]],"")</f>
        <v>0</v>
      </c>
    </row>
    <row r="49" spans="2:7" ht="20.100000000000001" customHeight="1" x14ac:dyDescent="0.35">
      <c r="B49" s="109" t="s">
        <v>189</v>
      </c>
      <c r="C49" s="107">
        <v>46</v>
      </c>
      <c r="D49" s="108">
        <v>350</v>
      </c>
      <c r="E49" s="110"/>
      <c r="F49" s="113">
        <f>Tabela2[[#This Row],[Quantidade horas]]*Tabela2[[#This Row],[Valor da hora trabalhada]]</f>
        <v>16100</v>
      </c>
      <c r="G49" s="112">
        <f>IFERROR(Tabela2[[#This Row],[Lucro estimado por serviço]]/Tabela2[[#This Row],[Preço sugerido]],"")</f>
        <v>0</v>
      </c>
    </row>
    <row r="50" spans="2:7" ht="20.100000000000001" customHeight="1" x14ac:dyDescent="0.35">
      <c r="B50" s="109" t="s">
        <v>190</v>
      </c>
      <c r="C50" s="107">
        <v>44</v>
      </c>
      <c r="D50" s="108">
        <v>350</v>
      </c>
      <c r="E50" s="110"/>
      <c r="F50" s="113">
        <f>Tabela2[[#This Row],[Quantidade horas]]*Tabela2[[#This Row],[Valor da hora trabalhada]]</f>
        <v>15400</v>
      </c>
      <c r="G50" s="112">
        <f>IFERROR(Tabela2[[#This Row],[Lucro estimado por serviço]]/Tabela2[[#This Row],[Preço sugerido]],"")</f>
        <v>0</v>
      </c>
    </row>
    <row r="51" spans="2:7" ht="20.100000000000001" customHeight="1" x14ac:dyDescent="0.35">
      <c r="B51" s="109" t="s">
        <v>191</v>
      </c>
      <c r="C51" s="107">
        <v>44</v>
      </c>
      <c r="D51" s="108">
        <v>350</v>
      </c>
      <c r="E51" s="110"/>
      <c r="F51" s="113">
        <f>Tabela2[[#This Row],[Quantidade horas]]*Tabela2[[#This Row],[Valor da hora trabalhada]]</f>
        <v>15400</v>
      </c>
      <c r="G51" s="112">
        <f>IFERROR(Tabela2[[#This Row],[Lucro estimado por serviço]]/Tabela2[[#This Row],[Preço sugerido]],"")</f>
        <v>0</v>
      </c>
    </row>
    <row r="52" spans="2:7" ht="20.100000000000001" customHeight="1" x14ac:dyDescent="0.35">
      <c r="B52" s="109" t="s">
        <v>192</v>
      </c>
      <c r="C52" s="107">
        <v>32</v>
      </c>
      <c r="D52" s="108">
        <v>350</v>
      </c>
      <c r="E52" s="110"/>
      <c r="F52" s="113">
        <f>Tabela2[[#This Row],[Quantidade horas]]*Tabela2[[#This Row],[Valor da hora trabalhada]]</f>
        <v>11200</v>
      </c>
      <c r="G52" s="112">
        <f>IFERROR(Tabela2[[#This Row],[Lucro estimado por serviço]]/Tabela2[[#This Row],[Preço sugerido]],"")</f>
        <v>0</v>
      </c>
    </row>
    <row r="53" spans="2:7" ht="20.100000000000001" customHeight="1" x14ac:dyDescent="0.35">
      <c r="B53" s="109" t="s">
        <v>193</v>
      </c>
      <c r="C53" s="107">
        <v>30</v>
      </c>
      <c r="D53" s="108">
        <v>350</v>
      </c>
      <c r="E53" s="110"/>
      <c r="F53" s="113">
        <f>Tabela2[[#This Row],[Quantidade horas]]*Tabela2[[#This Row],[Valor da hora trabalhada]]</f>
        <v>10500</v>
      </c>
      <c r="G53" s="112">
        <f>IFERROR(Tabela2[[#This Row],[Lucro estimado por serviço]]/Tabela2[[#This Row],[Preço sugerido]],"")</f>
        <v>0</v>
      </c>
    </row>
    <row r="54" spans="2:7" ht="20.100000000000001" customHeight="1" x14ac:dyDescent="0.35">
      <c r="B54" s="109" t="s">
        <v>194</v>
      </c>
      <c r="C54" s="107">
        <v>30</v>
      </c>
      <c r="D54" s="108">
        <v>350</v>
      </c>
      <c r="E54" s="110"/>
      <c r="F54" s="113">
        <f>Tabela2[[#This Row],[Quantidade horas]]*Tabela2[[#This Row],[Valor da hora trabalhada]]</f>
        <v>10500</v>
      </c>
      <c r="G54" s="112">
        <f>IFERROR(Tabela2[[#This Row],[Lucro estimado por serviço]]/Tabela2[[#This Row],[Preço sugerido]],"")</f>
        <v>0</v>
      </c>
    </row>
    <row r="55" spans="2:7" ht="20.100000000000001" customHeight="1" x14ac:dyDescent="0.35">
      <c r="B55" s="109" t="s">
        <v>195</v>
      </c>
      <c r="C55" s="107">
        <v>10</v>
      </c>
      <c r="D55" s="108">
        <v>350</v>
      </c>
      <c r="E55" s="110"/>
      <c r="F55" s="113">
        <f>Tabela2[[#This Row],[Quantidade horas]]*Tabela2[[#This Row],[Valor da hora trabalhada]]</f>
        <v>3500</v>
      </c>
      <c r="G55" s="112">
        <f>IFERROR(Tabela2[[#This Row],[Lucro estimado por serviço]]/Tabela2[[#This Row],[Preço sugerido]],"")</f>
        <v>0</v>
      </c>
    </row>
    <row r="56" spans="2:7" ht="20.100000000000001" customHeight="1" x14ac:dyDescent="0.35">
      <c r="B56" s="109" t="s">
        <v>196</v>
      </c>
      <c r="C56" s="107">
        <v>10</v>
      </c>
      <c r="D56" s="108">
        <v>350</v>
      </c>
      <c r="E56" s="110"/>
      <c r="F56" s="113">
        <f>Tabela2[[#This Row],[Quantidade horas]]*Tabela2[[#This Row],[Valor da hora trabalhada]]</f>
        <v>3500</v>
      </c>
      <c r="G56" s="112">
        <f>IFERROR(Tabela2[[#This Row],[Lucro estimado por serviço]]/Tabela2[[#This Row],[Preço sugerido]],"")</f>
        <v>0</v>
      </c>
    </row>
    <row r="57" spans="2:7" ht="20.100000000000001" customHeight="1" x14ac:dyDescent="0.35">
      <c r="B57" s="109" t="s">
        <v>197</v>
      </c>
      <c r="C57" s="107">
        <v>14</v>
      </c>
      <c r="D57" s="108">
        <v>350</v>
      </c>
      <c r="E57" s="110"/>
      <c r="F57" s="113">
        <f>Tabela2[[#This Row],[Quantidade horas]]*Tabela2[[#This Row],[Valor da hora trabalhada]]</f>
        <v>4900</v>
      </c>
      <c r="G57" s="112">
        <f>IFERROR(Tabela2[[#This Row],[Lucro estimado por serviço]]/Tabela2[[#This Row],[Preço sugerido]],"")</f>
        <v>0</v>
      </c>
    </row>
    <row r="58" spans="2:7" ht="20.100000000000001" customHeight="1" x14ac:dyDescent="0.35">
      <c r="B58" s="109" t="s">
        <v>198</v>
      </c>
      <c r="C58" s="107">
        <v>19</v>
      </c>
      <c r="D58" s="108">
        <v>350</v>
      </c>
      <c r="E58" s="110"/>
      <c r="F58" s="113">
        <f>Tabela2[[#This Row],[Quantidade horas]]*Tabela2[[#This Row],[Valor da hora trabalhada]]</f>
        <v>6650</v>
      </c>
      <c r="G58" s="112">
        <f>IFERROR(Tabela2[[#This Row],[Lucro estimado por serviço]]/Tabela2[[#This Row],[Preço sugerido]],"")</f>
        <v>0</v>
      </c>
    </row>
    <row r="59" spans="2:7" ht="20.100000000000001" customHeight="1" x14ac:dyDescent="0.35">
      <c r="B59" s="109" t="s">
        <v>199</v>
      </c>
      <c r="C59" s="107">
        <v>1</v>
      </c>
      <c r="D59" s="108">
        <v>350</v>
      </c>
      <c r="E59" s="110"/>
      <c r="F59" s="113">
        <f>Tabela2[[#This Row],[Quantidade horas]]*Tabela2[[#This Row],[Valor da hora trabalhada]]</f>
        <v>350</v>
      </c>
      <c r="G59" s="112">
        <f>IFERROR(Tabela2[[#This Row],[Lucro estimado por serviço]]/Tabela2[[#This Row],[Preço sugerido]],"")</f>
        <v>0</v>
      </c>
    </row>
    <row r="60" spans="2:7" ht="20.100000000000001" customHeight="1" x14ac:dyDescent="0.35">
      <c r="B60" s="109" t="s">
        <v>200</v>
      </c>
      <c r="C60" s="107">
        <v>10</v>
      </c>
      <c r="D60" s="108">
        <v>350</v>
      </c>
      <c r="E60" s="110"/>
      <c r="F60" s="113">
        <f>Tabela2[[#This Row],[Quantidade horas]]*Tabela2[[#This Row],[Valor da hora trabalhada]]</f>
        <v>3500</v>
      </c>
      <c r="G60" s="112">
        <f>IFERROR(Tabela2[[#This Row],[Lucro estimado por serviço]]/Tabela2[[#This Row],[Preço sugerido]],"")</f>
        <v>0</v>
      </c>
    </row>
    <row r="61" spans="2:7" ht="20.100000000000001" customHeight="1" x14ac:dyDescent="0.35">
      <c r="B61" s="109" t="s">
        <v>201</v>
      </c>
      <c r="C61" s="107">
        <v>3</v>
      </c>
      <c r="D61" s="108">
        <v>350</v>
      </c>
      <c r="E61" s="110"/>
      <c r="F61" s="113">
        <f>Tabela2[[#This Row],[Quantidade horas]]*Tabela2[[#This Row],[Valor da hora trabalhada]]</f>
        <v>1050</v>
      </c>
      <c r="G61" s="112">
        <f>IFERROR(Tabela2[[#This Row],[Lucro estimado por serviço]]/Tabela2[[#This Row],[Preço sugerido]],"")</f>
        <v>0</v>
      </c>
    </row>
    <row r="62" spans="2:7" ht="20.100000000000001" customHeight="1" x14ac:dyDescent="0.35">
      <c r="B62" s="109" t="s">
        <v>202</v>
      </c>
      <c r="C62" s="107">
        <v>12</v>
      </c>
      <c r="D62" s="108">
        <v>350</v>
      </c>
      <c r="E62" s="110"/>
      <c r="F62" s="113">
        <f>Tabela2[[#This Row],[Quantidade horas]]*Tabela2[[#This Row],[Valor da hora trabalhada]]</f>
        <v>4200</v>
      </c>
      <c r="G62" s="112">
        <f>IFERROR(Tabela2[[#This Row],[Lucro estimado por serviço]]/Tabela2[[#This Row],[Preço sugerido]],"")</f>
        <v>0</v>
      </c>
    </row>
    <row r="63" spans="2:7" ht="20.100000000000001" customHeight="1" x14ac:dyDescent="0.35">
      <c r="B63" s="109" t="s">
        <v>203</v>
      </c>
      <c r="C63" s="107">
        <v>15</v>
      </c>
      <c r="D63" s="108">
        <v>350</v>
      </c>
      <c r="E63" s="110"/>
      <c r="F63" s="113">
        <f>Tabela2[[#This Row],[Quantidade horas]]*Tabela2[[#This Row],[Valor da hora trabalhada]]</f>
        <v>5250</v>
      </c>
      <c r="G63" s="112">
        <f>IFERROR(Tabela2[[#This Row],[Lucro estimado por serviço]]/Tabela2[[#This Row],[Preço sugerido]],"")</f>
        <v>0</v>
      </c>
    </row>
    <row r="64" spans="2:7" ht="20.100000000000001" customHeight="1" x14ac:dyDescent="0.35">
      <c r="B64" s="109" t="s">
        <v>204</v>
      </c>
      <c r="C64" s="107">
        <v>26</v>
      </c>
      <c r="D64" s="108">
        <v>350</v>
      </c>
      <c r="E64" s="110"/>
      <c r="F64" s="113">
        <f>Tabela2[[#This Row],[Quantidade horas]]*Tabela2[[#This Row],[Valor da hora trabalhada]]</f>
        <v>9100</v>
      </c>
      <c r="G64" s="112">
        <f>IFERROR(Tabela2[[#This Row],[Lucro estimado por serviço]]/Tabela2[[#This Row],[Preço sugerido]],"")</f>
        <v>0</v>
      </c>
    </row>
    <row r="65" spans="2:7" ht="20.100000000000001" customHeight="1" x14ac:dyDescent="0.35">
      <c r="B65" s="109" t="s">
        <v>205</v>
      </c>
      <c r="C65" s="107">
        <v>3</v>
      </c>
      <c r="D65" s="108">
        <v>350</v>
      </c>
      <c r="E65" s="110"/>
      <c r="F65" s="113">
        <f>Tabela2[[#This Row],[Quantidade horas]]*Tabela2[[#This Row],[Valor da hora trabalhada]]</f>
        <v>1050</v>
      </c>
      <c r="G65" s="112">
        <f>IFERROR(Tabela2[[#This Row],[Lucro estimado por serviço]]/Tabela2[[#This Row],[Preço sugerido]],"")</f>
        <v>0</v>
      </c>
    </row>
    <row r="66" spans="2:7" ht="20.100000000000001" customHeight="1" x14ac:dyDescent="0.35">
      <c r="B66" s="109" t="s">
        <v>206</v>
      </c>
      <c r="C66" s="107">
        <v>16</v>
      </c>
      <c r="D66" s="108">
        <v>350</v>
      </c>
      <c r="E66" s="110"/>
      <c r="F66" s="113">
        <f>Tabela2[[#This Row],[Quantidade horas]]*Tabela2[[#This Row],[Valor da hora trabalhada]]</f>
        <v>5600</v>
      </c>
      <c r="G66" s="112">
        <f>IFERROR(Tabela2[[#This Row],[Lucro estimado por serviço]]/Tabela2[[#This Row],[Preço sugerido]],"")</f>
        <v>0</v>
      </c>
    </row>
    <row r="67" spans="2:7" ht="20.100000000000001" customHeight="1" x14ac:dyDescent="0.35">
      <c r="B67" s="109" t="s">
        <v>207</v>
      </c>
      <c r="C67" s="107">
        <v>16</v>
      </c>
      <c r="D67" s="108">
        <v>350</v>
      </c>
      <c r="E67" s="110"/>
      <c r="F67" s="113">
        <f>Tabela2[[#This Row],[Quantidade horas]]*Tabela2[[#This Row],[Valor da hora trabalhada]]</f>
        <v>5600</v>
      </c>
      <c r="G67" s="112">
        <f>IFERROR(Tabela2[[#This Row],[Lucro estimado por serviço]]/Tabela2[[#This Row],[Preço sugerido]],"")</f>
        <v>0</v>
      </c>
    </row>
    <row r="68" spans="2:7" ht="20.100000000000001" customHeight="1" x14ac:dyDescent="0.35">
      <c r="B68" s="109"/>
      <c r="C68" s="107"/>
      <c r="D68" s="108"/>
      <c r="E68" s="110"/>
      <c r="F68" s="113">
        <f>Tabela2[[#This Row],[Quantidade horas]]*Tabela2[[#This Row],[Valor da hora trabalhada]]</f>
        <v>0</v>
      </c>
      <c r="G68" s="112" t="str">
        <f>IFERROR(Tabela2[[#This Row],[Lucro estimado por serviço]]/Tabela2[[#This Row],[Preço sugerido]],"")</f>
        <v/>
      </c>
    </row>
    <row r="69" spans="2:7" ht="20.100000000000001" customHeight="1" x14ac:dyDescent="0.35">
      <c r="B69" s="109"/>
      <c r="C69" s="107"/>
      <c r="D69" s="108"/>
      <c r="E69" s="110"/>
      <c r="F69" s="113">
        <f>Tabela2[[#This Row],[Quantidade horas]]*Tabela2[[#This Row],[Valor da hora trabalhada]]</f>
        <v>0</v>
      </c>
      <c r="G69" s="112" t="str">
        <f>IFERROR(Tabela2[[#This Row],[Lucro estimado por serviço]]/Tabela2[[#This Row],[Preço sugerido]],"")</f>
        <v/>
      </c>
    </row>
    <row r="70" spans="2:7" ht="20.100000000000001" customHeight="1" x14ac:dyDescent="0.35">
      <c r="B70" s="109"/>
      <c r="C70" s="107"/>
      <c r="D70" s="108"/>
      <c r="E70" s="110"/>
      <c r="F70" s="113">
        <f>Tabela2[[#This Row],[Quantidade horas]]*Tabela2[[#This Row],[Valor da hora trabalhada]]</f>
        <v>0</v>
      </c>
      <c r="G70" s="112" t="str">
        <f>IFERROR(Tabela2[[#This Row],[Lucro estimado por serviço]]/Tabela2[[#This Row],[Preço sugerido]],"")</f>
        <v/>
      </c>
    </row>
    <row r="71" spans="2:7" ht="20.100000000000001" customHeight="1" x14ac:dyDescent="0.35">
      <c r="B71" s="109"/>
      <c r="C71" s="107"/>
      <c r="D71" s="108"/>
      <c r="E71" s="110"/>
      <c r="F71" s="113">
        <f>Tabela2[[#This Row],[Quantidade horas]]*Tabela2[[#This Row],[Valor da hora trabalhada]]</f>
        <v>0</v>
      </c>
      <c r="G71" s="112" t="str">
        <f>IFERROR(Tabela2[[#This Row],[Lucro estimado por serviço]]/Tabela2[[#This Row],[Preço sugerido]],"")</f>
        <v/>
      </c>
    </row>
    <row r="72" spans="2:7" ht="20.100000000000001" customHeight="1" x14ac:dyDescent="0.35">
      <c r="B72" s="109"/>
      <c r="C72" s="107"/>
      <c r="D72" s="108"/>
      <c r="E72" s="110"/>
      <c r="F72" s="113">
        <f>Tabela2[[#This Row],[Quantidade horas]]*Tabela2[[#This Row],[Valor da hora trabalhada]]</f>
        <v>0</v>
      </c>
      <c r="G72" s="112" t="str">
        <f>IFERROR(Tabela2[[#This Row],[Lucro estimado por serviço]]/Tabela2[[#This Row],[Preço sugerido]],"")</f>
        <v/>
      </c>
    </row>
    <row r="73" spans="2:7" ht="20.100000000000001" customHeight="1" x14ac:dyDescent="0.35">
      <c r="B73" s="109"/>
      <c r="C73" s="107"/>
      <c r="D73" s="108"/>
      <c r="E73" s="110"/>
      <c r="F73" s="113">
        <f>Tabela2[[#This Row],[Quantidade horas]]*Tabela2[[#This Row],[Valor da hora trabalhada]]</f>
        <v>0</v>
      </c>
      <c r="G73" s="112" t="str">
        <f>IFERROR(Tabela2[[#This Row],[Lucro estimado por serviço]]/Tabela2[[#This Row],[Preço sugerido]],"")</f>
        <v/>
      </c>
    </row>
    <row r="74" spans="2:7" ht="20.100000000000001" customHeight="1" x14ac:dyDescent="0.35">
      <c r="B74" s="109"/>
      <c r="C74" s="107"/>
      <c r="D74" s="108"/>
      <c r="E74" s="110"/>
      <c r="F74" s="113">
        <f>Tabela2[[#This Row],[Quantidade horas]]*Tabela2[[#This Row],[Valor da hora trabalhada]]</f>
        <v>0</v>
      </c>
      <c r="G74" s="112" t="str">
        <f>IFERROR(Tabela2[[#This Row],[Lucro estimado por serviço]]/Tabela2[[#This Row],[Preço sugerido]],"")</f>
        <v/>
      </c>
    </row>
    <row r="75" spans="2:7" ht="20.100000000000001" customHeight="1" x14ac:dyDescent="0.35">
      <c r="B75" s="109"/>
      <c r="C75" s="107"/>
      <c r="D75" s="108"/>
      <c r="E75" s="110"/>
      <c r="F75" s="113">
        <f>Tabela2[[#This Row],[Quantidade horas]]*Tabela2[[#This Row],[Valor da hora trabalhada]]</f>
        <v>0</v>
      </c>
      <c r="G75" s="112" t="str">
        <f>IFERROR(Tabela2[[#This Row],[Lucro estimado por serviço]]/Tabela2[[#This Row],[Preço sugerido]],"")</f>
        <v/>
      </c>
    </row>
    <row r="76" spans="2:7" ht="20.100000000000001" customHeight="1" x14ac:dyDescent="0.35">
      <c r="B76" s="109"/>
      <c r="C76" s="107"/>
      <c r="D76" s="108"/>
      <c r="E76" s="110"/>
      <c r="F76" s="113">
        <f>Tabela2[[#This Row],[Quantidade horas]]*Tabela2[[#This Row],[Valor da hora trabalhada]]</f>
        <v>0</v>
      </c>
      <c r="G76" s="112" t="str">
        <f>IFERROR(Tabela2[[#This Row],[Lucro estimado por serviço]]/Tabela2[[#This Row],[Preço sugerido]],"")</f>
        <v/>
      </c>
    </row>
    <row r="77" spans="2:7" ht="20.100000000000001" customHeight="1" x14ac:dyDescent="0.35">
      <c r="B77" s="109"/>
      <c r="C77" s="107"/>
      <c r="D77" s="108"/>
      <c r="E77" s="110"/>
      <c r="F77" s="113">
        <f>Tabela2[[#This Row],[Quantidade horas]]*Tabela2[[#This Row],[Valor da hora trabalhada]]</f>
        <v>0</v>
      </c>
      <c r="G77" s="112" t="str">
        <f>IFERROR(Tabela2[[#This Row],[Lucro estimado por serviço]]/Tabela2[[#This Row],[Preço sugerido]],"")</f>
        <v/>
      </c>
    </row>
    <row r="78" spans="2:7" ht="20.100000000000001" customHeight="1" x14ac:dyDescent="0.35">
      <c r="B78" s="109"/>
      <c r="C78" s="107"/>
      <c r="D78" s="108"/>
      <c r="E78" s="110"/>
      <c r="F78" s="113">
        <f>Tabela2[[#This Row],[Quantidade horas]]*Tabela2[[#This Row],[Valor da hora trabalhada]]</f>
        <v>0</v>
      </c>
      <c r="G78" s="112" t="str">
        <f>IFERROR(Tabela2[[#This Row],[Lucro estimado por serviço]]/Tabela2[[#This Row],[Preço sugerido]],"")</f>
        <v/>
      </c>
    </row>
    <row r="79" spans="2:7" ht="20.100000000000001" customHeight="1" x14ac:dyDescent="0.35">
      <c r="B79" s="109"/>
      <c r="C79" s="107"/>
      <c r="D79" s="108"/>
      <c r="E79" s="110"/>
      <c r="F79" s="113">
        <f>Tabela2[[#This Row],[Quantidade horas]]*Tabela2[[#This Row],[Valor da hora trabalhada]]</f>
        <v>0</v>
      </c>
      <c r="G79" s="112" t="str">
        <f>IFERROR(Tabela2[[#This Row],[Lucro estimado por serviço]]/Tabela2[[#This Row],[Preço sugerido]],"")</f>
        <v/>
      </c>
    </row>
    <row r="80" spans="2:7" ht="20.100000000000001" customHeight="1" x14ac:dyDescent="0.35">
      <c r="B80" s="109"/>
      <c r="C80" s="107"/>
      <c r="D80" s="108"/>
      <c r="E80" s="110"/>
      <c r="F80" s="113">
        <f>Tabela2[[#This Row],[Quantidade horas]]*Tabela2[[#This Row],[Valor da hora trabalhada]]</f>
        <v>0</v>
      </c>
      <c r="G80" s="112" t="str">
        <f>IFERROR(Tabela2[[#This Row],[Lucro estimado por serviço]]/Tabela2[[#This Row],[Preço sugerido]],"")</f>
        <v/>
      </c>
    </row>
    <row r="81" spans="2:7" ht="20.100000000000001" customHeight="1" x14ac:dyDescent="0.35">
      <c r="B81" s="109"/>
      <c r="C81" s="107"/>
      <c r="D81" s="108"/>
      <c r="E81" s="110"/>
      <c r="F81" s="113">
        <f>Tabela2[[#This Row],[Quantidade horas]]*Tabela2[[#This Row],[Valor da hora trabalhada]]</f>
        <v>0</v>
      </c>
      <c r="G81" s="112" t="str">
        <f>IFERROR(Tabela2[[#This Row],[Lucro estimado por serviço]]/Tabela2[[#This Row],[Preço sugerido]],"")</f>
        <v/>
      </c>
    </row>
  </sheetData>
  <sheetProtection sheet="1" objects="1" scenarios="1" selectLockedCells="1"/>
  <mergeCells count="41">
    <mergeCell ref="B41:G44"/>
    <mergeCell ref="A10:K10"/>
    <mergeCell ref="B11:C11"/>
    <mergeCell ref="B12:C12"/>
    <mergeCell ref="B13:C13"/>
    <mergeCell ref="B14:C14"/>
    <mergeCell ref="B21:B22"/>
    <mergeCell ref="C21:C22"/>
    <mergeCell ref="D21:D22"/>
    <mergeCell ref="E15:E16"/>
    <mergeCell ref="F15:F16"/>
    <mergeCell ref="G15:G16"/>
    <mergeCell ref="A15:A16"/>
    <mergeCell ref="D27:D28"/>
    <mergeCell ref="B29:B30"/>
    <mergeCell ref="C29:C30"/>
    <mergeCell ref="B15:C16"/>
    <mergeCell ref="D15:D16"/>
    <mergeCell ref="B1:H5"/>
    <mergeCell ref="B35:B36"/>
    <mergeCell ref="C35:C36"/>
    <mergeCell ref="D35:D36"/>
    <mergeCell ref="B27:B28"/>
    <mergeCell ref="C27:C28"/>
    <mergeCell ref="A18:K18"/>
    <mergeCell ref="D29:D30"/>
    <mergeCell ref="B23:B24"/>
    <mergeCell ref="C23:C24"/>
    <mergeCell ref="D23:D24"/>
    <mergeCell ref="B25:B26"/>
    <mergeCell ref="C25:C26"/>
    <mergeCell ref="D25:D26"/>
    <mergeCell ref="B37:B38"/>
    <mergeCell ref="C37:C38"/>
    <mergeCell ref="D37:D38"/>
    <mergeCell ref="B31:B32"/>
    <mergeCell ref="C31:C32"/>
    <mergeCell ref="D31:D32"/>
    <mergeCell ref="B33:B34"/>
    <mergeCell ref="C33:C34"/>
    <mergeCell ref="D33:D34"/>
  </mergeCells>
  <pageMargins left="0.511811024" right="0.511811024" top="0.78740157499999996" bottom="0.78740157499999996" header="0.31496062000000002" footer="0.31496062000000002"/>
  <ignoredErrors>
    <ignoredError sqref="G46" unlockedFormula="1"/>
  </ignoredErrors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3cf476e3-b461-4db5-bd62-89ad34500070" xsi:nil="true"/>
    <lcf76f155ced4ddcb4097134ff3c332f xmlns="3cf476e3-b461-4db5-bd62-89ad34500070">
      <Terms xmlns="http://schemas.microsoft.com/office/infopath/2007/PartnerControls"/>
    </lcf76f155ced4ddcb4097134ff3c332f>
    <TaxCatchAll xmlns="49412001-d783-40f6-a9e2-ad6f689aae4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F1516F786356408347E5D6CCDF0570" ma:contentTypeVersion="15" ma:contentTypeDescription="Criar um novo documento." ma:contentTypeScope="" ma:versionID="8c96fdb7dacff832b25b9b4371b69019">
  <xsd:schema xmlns:xsd="http://www.w3.org/2001/XMLSchema" xmlns:xs="http://www.w3.org/2001/XMLSchema" xmlns:p="http://schemas.microsoft.com/office/2006/metadata/properties" xmlns:ns2="49412001-d783-40f6-a9e2-ad6f689aae43" xmlns:ns3="3cf476e3-b461-4db5-bd62-89ad34500070" targetNamespace="http://schemas.microsoft.com/office/2006/metadata/properties" ma:root="true" ma:fieldsID="c8d0b6957c374441dc2c78e3ca38f5ff" ns2:_="" ns3:_="">
    <xsd:import namespace="49412001-d783-40f6-a9e2-ad6f689aae43"/>
    <xsd:import namespace="3cf476e3-b461-4db5-bd62-89ad3450007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_Flow_SignoffStatu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412001-d783-40f6-a9e2-ad6f689aae4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928ca6a-219c-46cd-98e1-d2a490ea2529}" ma:internalName="TaxCatchAll" ma:showField="CatchAllData" ma:web="49412001-d783-40f6-a9e2-ad6f689aae4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f476e3-b461-4db5-bd62-89ad3450007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Estado da aprovação" ma:internalName="Estado_x0020_da_x0020_aprova_x00e7__x00e3_o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m" ma:readOnly="false" ma:fieldId="{5cf76f15-5ced-4ddc-b409-7134ff3c332f}" ma:taxonomyMulti="true" ma:sspId="2055b41d-3360-4488-a350-57f99230ad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A226C2-C711-48C0-A1BA-8CCCA3F435C6}">
  <ds:schemaRefs>
    <ds:schemaRef ds:uri="http://schemas.microsoft.com/office/2006/metadata/properties"/>
    <ds:schemaRef ds:uri="http://schemas.microsoft.com/office/infopath/2007/PartnerControls"/>
    <ds:schemaRef ds:uri="3cf476e3-b461-4db5-bd62-89ad34500070"/>
    <ds:schemaRef ds:uri="49412001-d783-40f6-a9e2-ad6f689aae43"/>
  </ds:schemaRefs>
</ds:datastoreItem>
</file>

<file path=customXml/itemProps2.xml><?xml version="1.0" encoding="utf-8"?>
<ds:datastoreItem xmlns:ds="http://schemas.openxmlformats.org/officeDocument/2006/customXml" ds:itemID="{1EC22816-2096-4973-A4C6-297E093CD6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412001-d783-40f6-a9e2-ad6f689aae43"/>
    <ds:schemaRef ds:uri="3cf476e3-b461-4db5-bd62-89ad345000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4DE5D31-B18F-480A-B7E9-79BF9D9FD6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Produtos</vt:lpstr>
      <vt:lpstr>Dados</vt:lpstr>
      <vt:lpstr>Formação de preços </vt:lpstr>
      <vt:lpstr>Produtos!Area_de_impressao</vt:lpstr>
      <vt:lpstr>Lista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Sampaio Gonzaga</dc:creator>
  <cp:keywords/>
  <dc:description/>
  <cp:lastModifiedBy>Leonardo Santos</cp:lastModifiedBy>
  <cp:revision/>
  <dcterms:created xsi:type="dcterms:W3CDTF">2020-09-17T10:32:01Z</dcterms:created>
  <dcterms:modified xsi:type="dcterms:W3CDTF">2023-10-11T18:28:51Z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0x0101008EF1516F786356408347E5D6CCDF0570</vt:lpwstr>
  </property>
  <property fmtid="{D5CDD505-2E9C-101B-9397-08002B2CF9AE}" pid="3" name="MediaServiceImageTags">
    <vt:lpwstr/>
  </property>
</Properties>
</file>