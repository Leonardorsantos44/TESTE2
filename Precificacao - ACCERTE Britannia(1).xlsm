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drawings/drawing6.xml" ContentType="application/vnd.openxmlformats-officedocument.drawing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onardoSantos\Desktop\Clientes\BRITANNIA TEXTIL SA\"/>
    </mc:Choice>
  </mc:AlternateContent>
  <xr:revisionPtr revIDLastSave="0" documentId="8_{CC176472-C9BA-453E-9172-C98E713AEE79}" xr6:coauthVersionLast="47" xr6:coauthVersionMax="47" xr10:uidLastSave="{00000000-0000-0000-0000-000000000000}"/>
  <bookViews>
    <workbookView xWindow="-108" yWindow="-108" windowWidth="23256" windowHeight="12456" tabRatio="653" firstSheet="7" activeTab="7" xr2:uid="{00000000-000D-0000-FFFF-FFFF00000000}"/>
  </bookViews>
  <sheets>
    <sheet name="RESUMO DE PREÇOS" sheetId="20" r:id="rId1"/>
    <sheet name="Serviço revenda VAD 1" sheetId="9" r:id="rId2"/>
    <sheet name="Serviço revenda VAD 2" sheetId="18" r:id="rId3"/>
    <sheet name="Licença 1" sheetId="10" r:id="rId4"/>
    <sheet name="Licença 2" sheetId="17" r:id="rId5"/>
    <sheet name="Produto 1" sheetId="5" r:id="rId6"/>
    <sheet name="Produto 2" sheetId="16" r:id="rId7"/>
    <sheet name="Serviços Accerte" sheetId="13" r:id="rId8"/>
    <sheet name="ANÁLISE FINANCEIRA FINAL" sheetId="12" r:id="rId9"/>
    <sheet name="Dados" sheetId="14" state="hidden" r:id="rId10"/>
    <sheet name="Formação de preços " sheetId="15" state="hidden" r:id="rId11"/>
  </sheets>
  <definedNames>
    <definedName name="_xlnm.Print_Area" localSheetId="7">'Serviços Accerte'!$A$1:$L$111</definedName>
    <definedName name="Lista" localSheetId="4">Tabela2[#All]</definedName>
    <definedName name="Lista" localSheetId="6">Tabela2[#All]</definedName>
    <definedName name="Lista" localSheetId="0">Tabela2[#All]</definedName>
    <definedName name="Lista" localSheetId="2">Tabela2[#All]</definedName>
    <definedName name="Lista">Tabela2[#All]</definedName>
    <definedName name="solver_adj" localSheetId="3" hidden="1">'Licença 1'!$G$20</definedName>
    <definedName name="solver_adj" localSheetId="4" hidden="1">'Licença 2'!$M$20</definedName>
    <definedName name="solver_adj" localSheetId="5" hidden="1">'Produto 1'!$D$20</definedName>
    <definedName name="solver_adj" localSheetId="6" hidden="1">'Produto 2'!$D$20</definedName>
    <definedName name="solver_adj" localSheetId="1" hidden="1">'Serviço revenda VAD 1'!$D$20</definedName>
    <definedName name="solver_adj" localSheetId="2" hidden="1">'Serviço revenda VAD 2'!$D$20</definedName>
    <definedName name="solver_cvg" localSheetId="5" hidden="1">0.0001</definedName>
    <definedName name="solver_cvg" localSheetId="6" hidden="1">0.0001</definedName>
    <definedName name="solver_drv" localSheetId="5" hidden="1">2</definedName>
    <definedName name="solver_drv" localSheetId="6" hidden="1">2</definedName>
    <definedName name="solver_eng" localSheetId="5" hidden="1">1</definedName>
    <definedName name="solver_eng" localSheetId="6" hidden="1">1</definedName>
    <definedName name="solver_est" localSheetId="5" hidden="1">1</definedName>
    <definedName name="solver_est" localSheetId="6" hidden="1">1</definedName>
    <definedName name="solver_itr" localSheetId="5" hidden="1">2147483647</definedName>
    <definedName name="solver_itr" localSheetId="6" hidden="1">2147483647</definedName>
    <definedName name="solver_lhs1" localSheetId="3" hidden="1">'Licença 1'!$G$21</definedName>
    <definedName name="solver_lhs1" localSheetId="4" hidden="1">'Licença 2'!$M$21</definedName>
    <definedName name="solver_lhs1" localSheetId="5" hidden="1">'Produto 1'!$D$21</definedName>
    <definedName name="solver_lhs1" localSheetId="6" hidden="1">'Produto 2'!$D$21</definedName>
    <definedName name="solver_lhs1" localSheetId="1" hidden="1">'Serviço revenda VAD 1'!$D$21</definedName>
    <definedName name="solver_lhs1" localSheetId="2" hidden="1">'Serviço revenda VAD 2'!$D$21</definedName>
    <definedName name="solver_lhs2" localSheetId="5" hidden="1">'Produto 1'!$G$21</definedName>
    <definedName name="solver_lhs2" localSheetId="6" hidden="1">'Produto 2'!$G$21</definedName>
    <definedName name="solver_lhs3" localSheetId="5" hidden="1">'Produto 1'!$G$21</definedName>
    <definedName name="solver_lhs3" localSheetId="6" hidden="1">'Produto 2'!$G$21</definedName>
    <definedName name="solver_lhs4" localSheetId="5" hidden="1">'Produto 1'!$G$21</definedName>
    <definedName name="solver_lhs4" localSheetId="6" hidden="1">'Produto 2'!$G$21</definedName>
    <definedName name="solver_lhs5" localSheetId="5" hidden="1">'Produto 1'!$D$21</definedName>
    <definedName name="solver_lhs5" localSheetId="6" hidden="1">'Produto 2'!$D$21</definedName>
    <definedName name="solver_lhs6" localSheetId="5" hidden="1">'Produto 1'!$D$21</definedName>
    <definedName name="solver_lhs6" localSheetId="6" hidden="1">'Produto 2'!$D$21</definedName>
    <definedName name="solver_lhs7" localSheetId="5" hidden="1">'Produto 1'!$D$21</definedName>
    <definedName name="solver_lhs7" localSheetId="6" hidden="1">'Produto 2'!$D$21</definedName>
    <definedName name="solver_lhs8" localSheetId="5" hidden="1">'Produto 1'!$D$21</definedName>
    <definedName name="solver_lhs8" localSheetId="6" hidden="1">'Produto 2'!$D$21</definedName>
    <definedName name="solver_lhs9" localSheetId="5" hidden="1">'Produto 1'!$D$21</definedName>
    <definedName name="solver_lhs9" localSheetId="6" hidden="1">'Produto 2'!$D$21</definedName>
    <definedName name="solver_mip" localSheetId="5" hidden="1">2147483647</definedName>
    <definedName name="solver_mip" localSheetId="6" hidden="1">2147483647</definedName>
    <definedName name="solver_mni" localSheetId="5" hidden="1">30</definedName>
    <definedName name="solver_mni" localSheetId="6" hidden="1">30</definedName>
    <definedName name="solver_mrt" localSheetId="5" hidden="1">0.075</definedName>
    <definedName name="solver_mrt" localSheetId="6" hidden="1">0.075</definedName>
    <definedName name="solver_msl" localSheetId="5" hidden="1">2</definedName>
    <definedName name="solver_msl" localSheetId="6" hidden="1">2</definedName>
    <definedName name="solver_neg" localSheetId="5" hidden="1">1</definedName>
    <definedName name="solver_neg" localSheetId="6" hidden="1">1</definedName>
    <definedName name="solver_nod" localSheetId="5" hidden="1">2147483647</definedName>
    <definedName name="solver_nod" localSheetId="6" hidden="1">2147483647</definedName>
    <definedName name="solver_num" localSheetId="3" hidden="1">1</definedName>
    <definedName name="solver_num" localSheetId="4" hidden="1">1</definedName>
    <definedName name="solver_num" localSheetId="5" hidden="1">1</definedName>
    <definedName name="solver_num" localSheetId="6" hidden="1">1</definedName>
    <definedName name="solver_num" localSheetId="1" hidden="1">1</definedName>
    <definedName name="solver_num" localSheetId="2" hidden="1">1</definedName>
    <definedName name="solver_nwt" localSheetId="5" hidden="1">1</definedName>
    <definedName name="solver_nwt" localSheetId="6" hidden="1">1</definedName>
    <definedName name="solver_opt" localSheetId="3" hidden="1">'Licença 1'!$G$21</definedName>
    <definedName name="solver_opt" localSheetId="4" hidden="1">'Licença 2'!$M$21</definedName>
    <definedName name="solver_opt" localSheetId="5" hidden="1">'Produto 1'!$D$21</definedName>
    <definedName name="solver_opt" localSheetId="6" hidden="1">'Produto 2'!$D$21</definedName>
    <definedName name="solver_opt" localSheetId="1" hidden="1">'Serviço revenda VAD 1'!$D$21</definedName>
    <definedName name="solver_opt" localSheetId="2" hidden="1">'Serviço revenda VAD 2'!$D$21</definedName>
    <definedName name="solver_pre" localSheetId="5" hidden="1">0.000001</definedName>
    <definedName name="solver_pre" localSheetId="6" hidden="1">0.000001</definedName>
    <definedName name="solver_rbv" localSheetId="5" hidden="1">2</definedName>
    <definedName name="solver_rbv" localSheetId="6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1" localSheetId="6" hidden="1">2</definedName>
    <definedName name="solver_rel1" localSheetId="1" hidden="1">2</definedName>
    <definedName name="solver_rel1" localSheetId="2" hidden="1">2</definedName>
    <definedName name="solver_rel2" localSheetId="5" hidden="1">2</definedName>
    <definedName name="solver_rel2" localSheetId="6" hidden="1">2</definedName>
    <definedName name="solver_rel3" localSheetId="5" hidden="1">2</definedName>
    <definedName name="solver_rel3" localSheetId="6" hidden="1">2</definedName>
    <definedName name="solver_rel4" localSheetId="5" hidden="1">2</definedName>
    <definedName name="solver_rel4" localSheetId="6" hidden="1">2</definedName>
    <definedName name="solver_rel5" localSheetId="5" hidden="1">2</definedName>
    <definedName name="solver_rel5" localSheetId="6" hidden="1">2</definedName>
    <definedName name="solver_rel6" localSheetId="5" hidden="1">2</definedName>
    <definedName name="solver_rel6" localSheetId="6" hidden="1">2</definedName>
    <definedName name="solver_rel7" localSheetId="5" hidden="1">2</definedName>
    <definedName name="solver_rel7" localSheetId="6" hidden="1">2</definedName>
    <definedName name="solver_rel8" localSheetId="5" hidden="1">2</definedName>
    <definedName name="solver_rel8" localSheetId="6" hidden="1">2</definedName>
    <definedName name="solver_rel9" localSheetId="5" hidden="1">2</definedName>
    <definedName name="solver_rel9" localSheetId="6" hidden="1">2</definedName>
    <definedName name="solver_rhs1" localSheetId="3" hidden="1">'Licença 1'!$G$23</definedName>
    <definedName name="solver_rhs1" localSheetId="4" hidden="1">'Licença 2'!$M$23</definedName>
    <definedName name="solver_rhs1" localSheetId="5" hidden="1">'Produto 1'!$D$23</definedName>
    <definedName name="solver_rhs1" localSheetId="6" hidden="1">'Produto 2'!$D$23</definedName>
    <definedName name="solver_rhs1" localSheetId="1" hidden="1">'Serviço revenda VAD 1'!$D$23</definedName>
    <definedName name="solver_rhs1" localSheetId="2" hidden="1">'Serviço revenda VAD 2'!$D$23</definedName>
    <definedName name="solver_rhs2" localSheetId="5" hidden="1">'Produto 1'!$G$20</definedName>
    <definedName name="solver_rhs2" localSheetId="6" hidden="1">'Produto 2'!$G$20</definedName>
    <definedName name="solver_rhs3" localSheetId="5" hidden="1">'Produto 1'!$G$20</definedName>
    <definedName name="solver_rhs3" localSheetId="6" hidden="1">'Produto 2'!$G$20</definedName>
    <definedName name="solver_rhs4" localSheetId="5" hidden="1">'Produto 1'!$G$20</definedName>
    <definedName name="solver_rhs4" localSheetId="6" hidden="1">'Produto 2'!$G$20</definedName>
    <definedName name="solver_rhs5" localSheetId="5" hidden="1">'Produto 1'!$D$20</definedName>
    <definedName name="solver_rhs5" localSheetId="6" hidden="1">'Produto 2'!$D$20</definedName>
    <definedName name="solver_rhs6" localSheetId="5" hidden="1">'Produto 1'!$D$20</definedName>
    <definedName name="solver_rhs6" localSheetId="6" hidden="1">'Produto 2'!$D$20</definedName>
    <definedName name="solver_rhs7" localSheetId="5" hidden="1">'Produto 1'!$D$20</definedName>
    <definedName name="solver_rhs7" localSheetId="6" hidden="1">'Produto 2'!$D$20</definedName>
    <definedName name="solver_rhs8" localSheetId="5" hidden="1">'Produto 1'!$D$20</definedName>
    <definedName name="solver_rhs8" localSheetId="6" hidden="1">'Produto 2'!$D$20</definedName>
    <definedName name="solver_rhs9" localSheetId="5" hidden="1">'Produto 1'!$D$20</definedName>
    <definedName name="solver_rhs9" localSheetId="6" hidden="1">'Produto 2'!$D$20</definedName>
    <definedName name="solver_rlx" localSheetId="5" hidden="1">2</definedName>
    <definedName name="solver_rlx" localSheetId="6" hidden="1">2</definedName>
    <definedName name="solver_rsd" localSheetId="5" hidden="1">0</definedName>
    <definedName name="solver_rsd" localSheetId="6" hidden="1">0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ssz" localSheetId="5" hidden="1">100</definedName>
    <definedName name="solver_ssz" localSheetId="6" hidden="1">100</definedName>
    <definedName name="solver_tim" localSheetId="5" hidden="1">2147483647</definedName>
    <definedName name="solver_tim" localSheetId="6" hidden="1">2147483647</definedName>
    <definedName name="solver_tol" localSheetId="5" hidden="1">0.01</definedName>
    <definedName name="solver_tol" localSheetId="6" hidden="1">0.01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1" hidden="1">1</definedName>
    <definedName name="solver_typ" localSheetId="2" hidden="1">1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1" hidden="1">0</definedName>
    <definedName name="solver_val" localSheetId="2" hidden="1">0</definedName>
    <definedName name="solver_ver" localSheetId="5" hidden="1">3</definedName>
    <definedName name="solver_ver" localSheetId="6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7" i="13" l="1"/>
  <c r="E57" i="13" s="1"/>
  <c r="P41" i="9"/>
  <c r="M41" i="9"/>
  <c r="J41" i="9"/>
  <c r="G41" i="9"/>
  <c r="P37" i="9"/>
  <c r="P38" i="9" s="1"/>
  <c r="P42" i="9" s="1"/>
  <c r="M37" i="9"/>
  <c r="M38" i="9" s="1"/>
  <c r="M42" i="9" s="1"/>
  <c r="J37" i="9"/>
  <c r="J38" i="9" s="1"/>
  <c r="J42" i="9" s="1"/>
  <c r="G37" i="9"/>
  <c r="P33" i="9"/>
  <c r="M33" i="9"/>
  <c r="J33" i="9"/>
  <c r="G33" i="9"/>
  <c r="P32" i="9"/>
  <c r="M32" i="9"/>
  <c r="J32" i="9"/>
  <c r="G32" i="9"/>
  <c r="P28" i="9"/>
  <c r="M28" i="9"/>
  <c r="J28" i="9"/>
  <c r="G28" i="9"/>
  <c r="G38" i="9" s="1"/>
  <c r="G42" i="9" s="1"/>
  <c r="D28" i="9"/>
  <c r="P41" i="18"/>
  <c r="M41" i="18"/>
  <c r="J41" i="18"/>
  <c r="G41" i="18"/>
  <c r="P37" i="18"/>
  <c r="P38" i="18" s="1"/>
  <c r="P42" i="18" s="1"/>
  <c r="M37" i="18"/>
  <c r="M38" i="18" s="1"/>
  <c r="M42" i="18" s="1"/>
  <c r="J37" i="18"/>
  <c r="J38" i="18" s="1"/>
  <c r="J42" i="18" s="1"/>
  <c r="G37" i="18"/>
  <c r="G38" i="18" s="1"/>
  <c r="G42" i="18" s="1"/>
  <c r="P33" i="18"/>
  <c r="M33" i="18"/>
  <c r="J33" i="18"/>
  <c r="G33" i="18"/>
  <c r="P32" i="18"/>
  <c r="M32" i="18"/>
  <c r="J32" i="18"/>
  <c r="G32" i="18"/>
  <c r="P28" i="18"/>
  <c r="M28" i="18"/>
  <c r="J28" i="18"/>
  <c r="G28" i="18"/>
  <c r="D28" i="18"/>
  <c r="P37" i="17"/>
  <c r="P38" i="17" s="1"/>
  <c r="P38" i="5"/>
  <c r="M38" i="5"/>
  <c r="J38" i="5"/>
  <c r="G38" i="5"/>
  <c r="P38" i="16"/>
  <c r="M38" i="16"/>
  <c r="J38" i="16"/>
  <c r="G38" i="16"/>
  <c r="D13" i="16"/>
  <c r="P41" i="17"/>
  <c r="D13" i="17"/>
  <c r="D9" i="5"/>
  <c r="D2" i="17"/>
  <c r="D29" i="16"/>
  <c r="P28" i="10"/>
  <c r="M28" i="10"/>
  <c r="J28" i="10"/>
  <c r="G28" i="10"/>
  <c r="D28" i="10"/>
  <c r="P33" i="17"/>
  <c r="P32" i="17"/>
  <c r="D28" i="17"/>
  <c r="H57" i="13" l="1"/>
  <c r="P42" i="16"/>
  <c r="M42" i="16"/>
  <c r="J42" i="16"/>
  <c r="G42" i="16"/>
  <c r="P39" i="16"/>
  <c r="P43" i="16" s="1"/>
  <c r="M39" i="16"/>
  <c r="M43" i="16" s="1"/>
  <c r="J39" i="16"/>
  <c r="J43" i="16" s="1"/>
  <c r="G39" i="16"/>
  <c r="G43" i="16" s="1"/>
  <c r="P34" i="16"/>
  <c r="M34" i="16"/>
  <c r="J34" i="16"/>
  <c r="G34" i="16"/>
  <c r="P33" i="16"/>
  <c r="M33" i="16"/>
  <c r="J33" i="16"/>
  <c r="G33" i="16"/>
  <c r="P29" i="16"/>
  <c r="M29" i="16"/>
  <c r="J29" i="16"/>
  <c r="G29" i="16"/>
  <c r="P39" i="5"/>
  <c r="P43" i="5" s="1"/>
  <c r="M39" i="5"/>
  <c r="M43" i="5" s="1"/>
  <c r="J39" i="5"/>
  <c r="J43" i="5" s="1"/>
  <c r="G39" i="5"/>
  <c r="G43" i="5" s="1"/>
  <c r="P42" i="5"/>
  <c r="M42" i="5"/>
  <c r="J42" i="5"/>
  <c r="G42" i="5"/>
  <c r="P34" i="5"/>
  <c r="M34" i="5"/>
  <c r="J34" i="5"/>
  <c r="G34" i="5"/>
  <c r="P33" i="5"/>
  <c r="M33" i="5"/>
  <c r="J33" i="5"/>
  <c r="G33" i="5"/>
  <c r="D1" i="5"/>
  <c r="F50" i="12" l="1"/>
  <c r="F43" i="12"/>
  <c r="D21" i="5"/>
  <c r="D11" i="5"/>
  <c r="D33" i="5" s="1"/>
  <c r="D2" i="10"/>
  <c r="J9" i="13" l="1"/>
  <c r="F18" i="12"/>
  <c r="F30" i="12"/>
  <c r="F38" i="12"/>
  <c r="D1" i="16"/>
  <c r="D6" i="16" s="1"/>
  <c r="P1" i="5"/>
  <c r="M1" i="5"/>
  <c r="J1" i="5"/>
  <c r="G1" i="5"/>
  <c r="P1" i="16"/>
  <c r="M1" i="16"/>
  <c r="J1" i="16"/>
  <c r="G1" i="16"/>
  <c r="H24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J10" i="13"/>
  <c r="J11" i="13"/>
  <c r="I11" i="13" s="1"/>
  <c r="J12" i="13"/>
  <c r="I12" i="13" s="1"/>
  <c r="J13" i="13"/>
  <c r="J14" i="13"/>
  <c r="J15" i="13"/>
  <c r="I15" i="13" s="1"/>
  <c r="J16" i="13"/>
  <c r="J17" i="13"/>
  <c r="J18" i="13"/>
  <c r="J19" i="13"/>
  <c r="I19" i="13" s="1"/>
  <c r="J20" i="13"/>
  <c r="I20" i="13" s="1"/>
  <c r="J21" i="13"/>
  <c r="J22" i="13"/>
  <c r="J23" i="13"/>
  <c r="I23" i="13" s="1"/>
  <c r="P29" i="5"/>
  <c r="M29" i="5"/>
  <c r="J29" i="5"/>
  <c r="G29" i="5"/>
  <c r="D29" i="5"/>
  <c r="P28" i="17"/>
  <c r="M28" i="17"/>
  <c r="J28" i="17"/>
  <c r="G28" i="17"/>
  <c r="I22" i="13" l="1"/>
  <c r="I18" i="13"/>
  <c r="I16" i="13"/>
  <c r="I21" i="13"/>
  <c r="I17" i="13"/>
  <c r="G33" i="12"/>
  <c r="I14" i="13"/>
  <c r="G8" i="12"/>
  <c r="AL10" i="13"/>
  <c r="G10" i="13" s="1"/>
  <c r="I10" i="13" s="1"/>
  <c r="AL11" i="13"/>
  <c r="AL12" i="13"/>
  <c r="AL13" i="13"/>
  <c r="I13" i="13" s="1"/>
  <c r="AL14" i="13"/>
  <c r="AL15" i="13"/>
  <c r="AL16" i="13"/>
  <c r="AL17" i="13"/>
  <c r="AL18" i="13"/>
  <c r="AL19" i="13"/>
  <c r="AL20" i="13"/>
  <c r="AL21" i="13"/>
  <c r="AL22" i="13"/>
  <c r="AL23" i="13"/>
  <c r="AL9" i="13"/>
  <c r="G9" i="13" s="1"/>
  <c r="I9" i="13" s="1"/>
  <c r="F77" i="15"/>
  <c r="G77" i="15" s="1"/>
  <c r="F76" i="15"/>
  <c r="G76" i="15" s="1"/>
  <c r="F75" i="15"/>
  <c r="G75" i="15" s="1"/>
  <c r="F74" i="15"/>
  <c r="G74" i="15" s="1"/>
  <c r="F73" i="15"/>
  <c r="G73" i="15" s="1"/>
  <c r="F72" i="15"/>
  <c r="G72" i="15" s="1"/>
  <c r="F71" i="15"/>
  <c r="G71" i="15" s="1"/>
  <c r="F70" i="15"/>
  <c r="G70" i="15" s="1"/>
  <c r="F69" i="15"/>
  <c r="G69" i="15" s="1"/>
  <c r="F68" i="15"/>
  <c r="G68" i="15" s="1"/>
  <c r="F67" i="15"/>
  <c r="G67" i="15" s="1"/>
  <c r="F66" i="15"/>
  <c r="G66" i="15" s="1"/>
  <c r="F65" i="15"/>
  <c r="G65" i="15" s="1"/>
  <c r="F64" i="15"/>
  <c r="G64" i="15" s="1"/>
  <c r="F63" i="15"/>
  <c r="G63" i="15" s="1"/>
  <c r="F62" i="15"/>
  <c r="G62" i="15" s="1"/>
  <c r="F61" i="15"/>
  <c r="G61" i="15" s="1"/>
  <c r="F60" i="15"/>
  <c r="G60" i="15" s="1"/>
  <c r="D2" i="18"/>
  <c r="G6" i="18"/>
  <c r="P17" i="18"/>
  <c r="M17" i="18"/>
  <c r="J17" i="18"/>
  <c r="G17" i="18"/>
  <c r="D17" i="18"/>
  <c r="P15" i="18"/>
  <c r="M15" i="18"/>
  <c r="J15" i="18"/>
  <c r="G15" i="18"/>
  <c r="D15" i="18"/>
  <c r="P13" i="18"/>
  <c r="M13" i="18"/>
  <c r="J13" i="18"/>
  <c r="G13" i="18"/>
  <c r="D13" i="18"/>
  <c r="P11" i="18"/>
  <c r="M11" i="18"/>
  <c r="J11" i="18"/>
  <c r="G11" i="18"/>
  <c r="D11" i="18"/>
  <c r="P8" i="18"/>
  <c r="M8" i="18"/>
  <c r="J8" i="18"/>
  <c r="G8" i="18"/>
  <c r="D8" i="18"/>
  <c r="P6" i="18"/>
  <c r="M6" i="18"/>
  <c r="J6" i="18"/>
  <c r="D6" i="18"/>
  <c r="P2" i="18"/>
  <c r="M2" i="18"/>
  <c r="J2" i="18"/>
  <c r="G2" i="18"/>
  <c r="D17" i="5"/>
  <c r="F59" i="15"/>
  <c r="G59" i="15" s="1"/>
  <c r="F58" i="15"/>
  <c r="G58" i="15" s="1"/>
  <c r="F54" i="15"/>
  <c r="E76" i="13"/>
  <c r="I67" i="13"/>
  <c r="D76" i="13"/>
  <c r="K65" i="13"/>
  <c r="K63" i="13"/>
  <c r="K61" i="13"/>
  <c r="K59" i="13"/>
  <c r="K66" i="13"/>
  <c r="K64" i="13"/>
  <c r="K62" i="13"/>
  <c r="K60" i="13"/>
  <c r="K58" i="13"/>
  <c r="G21" i="12"/>
  <c r="P15" i="17"/>
  <c r="M15" i="17"/>
  <c r="J15" i="17"/>
  <c r="G15" i="17"/>
  <c r="D15" i="17"/>
  <c r="P13" i="17"/>
  <c r="M13" i="17"/>
  <c r="J13" i="17"/>
  <c r="G13" i="17"/>
  <c r="P11" i="17"/>
  <c r="M11" i="17"/>
  <c r="J11" i="17"/>
  <c r="G11" i="17"/>
  <c r="D11" i="17"/>
  <c r="P8" i="17"/>
  <c r="M8" i="17"/>
  <c r="J8" i="17"/>
  <c r="G8" i="17"/>
  <c r="D8" i="17"/>
  <c r="P6" i="17"/>
  <c r="M6" i="17"/>
  <c r="J6" i="17"/>
  <c r="G6" i="17"/>
  <c r="D6" i="17"/>
  <c r="D9" i="17" s="1"/>
  <c r="P2" i="17"/>
  <c r="M2" i="17"/>
  <c r="J2" i="17"/>
  <c r="G2" i="17"/>
  <c r="P17" i="16"/>
  <c r="M17" i="16"/>
  <c r="J17" i="16"/>
  <c r="G17" i="16"/>
  <c r="D17" i="16"/>
  <c r="P15" i="16"/>
  <c r="M15" i="16"/>
  <c r="J15" i="16"/>
  <c r="G15" i="16"/>
  <c r="D15" i="16"/>
  <c r="P13" i="16"/>
  <c r="M13" i="16"/>
  <c r="J13" i="16"/>
  <c r="G13" i="16"/>
  <c r="P11" i="16"/>
  <c r="M11" i="16"/>
  <c r="J11" i="16"/>
  <c r="G11" i="16"/>
  <c r="D11" i="16"/>
  <c r="P8" i="16"/>
  <c r="M8" i="16"/>
  <c r="J8" i="16"/>
  <c r="G8" i="16"/>
  <c r="D8" i="16"/>
  <c r="M6" i="16"/>
  <c r="G6" i="16"/>
  <c r="J9" i="18" l="1"/>
  <c r="P9" i="18"/>
  <c r="M9" i="18"/>
  <c r="G9" i="18"/>
  <c r="D9" i="18"/>
  <c r="M9" i="17"/>
  <c r="G9" i="17"/>
  <c r="P9" i="17"/>
  <c r="G9" i="16"/>
  <c r="M9" i="16"/>
  <c r="J9" i="17"/>
  <c r="D9" i="16"/>
  <c r="J6" i="16"/>
  <c r="J9" i="16" s="1"/>
  <c r="P6" i="16"/>
  <c r="P9" i="16" s="1"/>
  <c r="D32" i="18" l="1"/>
  <c r="M32" i="17"/>
  <c r="J32" i="17"/>
  <c r="G32" i="17"/>
  <c r="D19" i="16"/>
  <c r="D34" i="16" s="1"/>
  <c r="D33" i="16"/>
  <c r="D32" i="17"/>
  <c r="G19" i="18"/>
  <c r="G21" i="18" s="1"/>
  <c r="G22" i="18" s="1"/>
  <c r="J19" i="18"/>
  <c r="J21" i="18" s="1"/>
  <c r="J22" i="18" s="1"/>
  <c r="G19" i="17"/>
  <c r="M19" i="16"/>
  <c r="M19" i="17"/>
  <c r="D19" i="17"/>
  <c r="D37" i="17" s="1"/>
  <c r="P19" i="18"/>
  <c r="P21" i="18" s="1"/>
  <c r="P22" i="18" s="1"/>
  <c r="M19" i="18"/>
  <c r="M21" i="18" s="1"/>
  <c r="M22" i="18" s="1"/>
  <c r="D19" i="18"/>
  <c r="D33" i="18" s="1"/>
  <c r="P19" i="16"/>
  <c r="P21" i="16"/>
  <c r="P22" i="16" s="1"/>
  <c r="J19" i="16"/>
  <c r="J21" i="16" s="1"/>
  <c r="J22" i="16" s="1"/>
  <c r="G19" i="16"/>
  <c r="G21" i="16" s="1"/>
  <c r="G22" i="16" s="1"/>
  <c r="P19" i="17"/>
  <c r="P21" i="17" s="1"/>
  <c r="P22" i="17" s="1"/>
  <c r="J19" i="17"/>
  <c r="J41" i="17" s="1"/>
  <c r="D41" i="18" l="1"/>
  <c r="D37" i="18"/>
  <c r="D38" i="18" s="1"/>
  <c r="D42" i="18" s="1"/>
  <c r="M21" i="17"/>
  <c r="M22" i="17" s="1"/>
  <c r="M33" i="17"/>
  <c r="M41" i="17"/>
  <c r="M37" i="17"/>
  <c r="M38" i="17" s="1"/>
  <c r="M42" i="17" s="1"/>
  <c r="J21" i="17"/>
  <c r="J22" i="17" s="1"/>
  <c r="J33" i="17"/>
  <c r="J37" i="17"/>
  <c r="J38" i="17" s="1"/>
  <c r="J42" i="17" s="1"/>
  <c r="G21" i="17"/>
  <c r="G22" i="17" s="1"/>
  <c r="G33" i="17"/>
  <c r="G41" i="17"/>
  <c r="G37" i="17"/>
  <c r="G38" i="17" s="1"/>
  <c r="G42" i="17" s="1"/>
  <c r="D33" i="17"/>
  <c r="D41" i="17"/>
  <c r="D38" i="17"/>
  <c r="D42" i="17" s="1"/>
  <c r="D42" i="16"/>
  <c r="D38" i="16"/>
  <c r="D39" i="16" s="1"/>
  <c r="D43" i="16" s="1"/>
  <c r="M21" i="16"/>
  <c r="M22" i="16" s="1"/>
  <c r="P42" i="17"/>
  <c r="D21" i="17"/>
  <c r="D22" i="17" s="1"/>
  <c r="D21" i="18"/>
  <c r="D22" i="18" s="1"/>
  <c r="D21" i="16"/>
  <c r="D22" i="16" s="1"/>
  <c r="G28" i="12" l="1"/>
  <c r="F28" i="12" s="1"/>
  <c r="AG10" i="13" l="1"/>
  <c r="AG11" i="13"/>
  <c r="AG12" i="13"/>
  <c r="AG13" i="13"/>
  <c r="AG14" i="13"/>
  <c r="AG15" i="13"/>
  <c r="AG16" i="13"/>
  <c r="AG17" i="13"/>
  <c r="AG18" i="13"/>
  <c r="AG19" i="13"/>
  <c r="AG20" i="13"/>
  <c r="AG21" i="13"/>
  <c r="AG22" i="13"/>
  <c r="AG23" i="13"/>
  <c r="AG9" i="13"/>
  <c r="G58" i="13"/>
  <c r="G59" i="13"/>
  <c r="G60" i="13"/>
  <c r="G61" i="13"/>
  <c r="G62" i="13"/>
  <c r="G63" i="13"/>
  <c r="G64" i="13"/>
  <c r="G65" i="13"/>
  <c r="G66" i="13"/>
  <c r="F67" i="13"/>
  <c r="D58" i="13"/>
  <c r="E58" i="13" s="1"/>
  <c r="D59" i="13"/>
  <c r="E59" i="13" s="1"/>
  <c r="D60" i="13"/>
  <c r="E60" i="13" s="1"/>
  <c r="D62" i="13"/>
  <c r="E62" i="13" s="1"/>
  <c r="D63" i="13"/>
  <c r="E63" i="13" s="1"/>
  <c r="D64" i="13"/>
  <c r="E64" i="13" s="1"/>
  <c r="D65" i="13"/>
  <c r="E65" i="13" s="1"/>
  <c r="P81" i="14"/>
  <c r="P82" i="14"/>
  <c r="P83" i="14"/>
  <c r="P29" i="14"/>
  <c r="P30" i="14"/>
  <c r="P31" i="14"/>
  <c r="P55" i="14"/>
  <c r="P56" i="14"/>
  <c r="P57" i="14"/>
  <c r="P80" i="14"/>
  <c r="P79" i="14"/>
  <c r="P78" i="14"/>
  <c r="P74" i="14"/>
  <c r="P73" i="14"/>
  <c r="P72" i="14"/>
  <c r="P70" i="14"/>
  <c r="P69" i="14"/>
  <c r="P67" i="14"/>
  <c r="P66" i="14"/>
  <c r="P65" i="14"/>
  <c r="P64" i="14"/>
  <c r="P63" i="14"/>
  <c r="P54" i="14"/>
  <c r="P53" i="14"/>
  <c r="P52" i="14"/>
  <c r="P48" i="14"/>
  <c r="P47" i="14"/>
  <c r="P46" i="14"/>
  <c r="P44" i="14"/>
  <c r="P43" i="14"/>
  <c r="P41" i="14"/>
  <c r="P40" i="14"/>
  <c r="P39" i="14"/>
  <c r="P38" i="14"/>
  <c r="P37" i="14"/>
  <c r="H88" i="14"/>
  <c r="J88" i="14" s="1"/>
  <c r="H89" i="14"/>
  <c r="J89" i="14" s="1"/>
  <c r="H90" i="14"/>
  <c r="J90" i="14" s="1"/>
  <c r="F12" i="15"/>
  <c r="G12" i="15" s="1"/>
  <c r="F13" i="15"/>
  <c r="F14" i="15"/>
  <c r="A15" i="15"/>
  <c r="D15" i="15"/>
  <c r="E15" i="15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G54" i="15"/>
  <c r="F55" i="15"/>
  <c r="G55" i="15" s="1"/>
  <c r="F56" i="15"/>
  <c r="G56" i="15" s="1"/>
  <c r="F57" i="15"/>
  <c r="G57" i="15" s="1"/>
  <c r="P11" i="14"/>
  <c r="P12" i="14"/>
  <c r="P13" i="14"/>
  <c r="P14" i="14"/>
  <c r="P15" i="14"/>
  <c r="P17" i="14"/>
  <c r="P18" i="14"/>
  <c r="P20" i="14"/>
  <c r="P21" i="14"/>
  <c r="P22" i="14"/>
  <c r="P26" i="14"/>
  <c r="P27" i="14"/>
  <c r="P28" i="14"/>
  <c r="P94" i="14"/>
  <c r="C27" i="15" s="1"/>
  <c r="F24" i="13"/>
  <c r="D34" i="13" s="1"/>
  <c r="Q145" i="13"/>
  <c r="R145" i="13"/>
  <c r="S145" i="13"/>
  <c r="T145" i="13"/>
  <c r="U145" i="13"/>
  <c r="W145" i="13"/>
  <c r="Q146" i="13"/>
  <c r="R146" i="13"/>
  <c r="S146" i="13"/>
  <c r="T146" i="13"/>
  <c r="U146" i="13"/>
  <c r="W146" i="13"/>
  <c r="Q147" i="13"/>
  <c r="R147" i="13"/>
  <c r="S147" i="13"/>
  <c r="T147" i="13"/>
  <c r="U147" i="13"/>
  <c r="W147" i="13"/>
  <c r="Q148" i="13"/>
  <c r="R148" i="13"/>
  <c r="S148" i="13"/>
  <c r="T148" i="13"/>
  <c r="U148" i="13"/>
  <c r="W148" i="13"/>
  <c r="Q149" i="13"/>
  <c r="R149" i="13"/>
  <c r="S149" i="13"/>
  <c r="T149" i="13"/>
  <c r="U149" i="13"/>
  <c r="W149" i="13"/>
  <c r="Q150" i="13"/>
  <c r="R150" i="13"/>
  <c r="S150" i="13"/>
  <c r="T150" i="13"/>
  <c r="U150" i="13"/>
  <c r="W150" i="13"/>
  <c r="Q151" i="13"/>
  <c r="R151" i="13"/>
  <c r="S151" i="13"/>
  <c r="T151" i="13"/>
  <c r="U151" i="13"/>
  <c r="W151" i="13"/>
  <c r="Q152" i="13"/>
  <c r="R152" i="13"/>
  <c r="S152" i="13"/>
  <c r="T152" i="13"/>
  <c r="U152" i="13"/>
  <c r="W152" i="13"/>
  <c r="X172" i="13"/>
  <c r="W173" i="13"/>
  <c r="W174" i="13"/>
  <c r="W175" i="13"/>
  <c r="W176" i="13"/>
  <c r="P181" i="13"/>
  <c r="P183" i="13" s="1"/>
  <c r="R181" i="13"/>
  <c r="P205" i="13"/>
  <c r="Q205" i="13" s="1"/>
  <c r="R205" i="13" s="1"/>
  <c r="P206" i="13"/>
  <c r="Q206" i="13" s="1"/>
  <c r="R206" i="13" s="1"/>
  <c r="P207" i="13"/>
  <c r="Q207" i="13" s="1"/>
  <c r="R207" i="13" s="1"/>
  <c r="P208" i="13"/>
  <c r="Q208" i="13" s="1"/>
  <c r="R208" i="13" s="1"/>
  <c r="P209" i="13"/>
  <c r="Q209" i="13" s="1"/>
  <c r="R209" i="13" s="1"/>
  <c r="P210" i="13"/>
  <c r="Q210" i="13" s="1"/>
  <c r="P211" i="13"/>
  <c r="Q211" i="13" s="1"/>
  <c r="R211" i="13" s="1"/>
  <c r="Q215" i="13"/>
  <c r="P216" i="13"/>
  <c r="P219" i="13"/>
  <c r="P220" i="13"/>
  <c r="P221" i="13"/>
  <c r="P222" i="13"/>
  <c r="P223" i="13"/>
  <c r="P224" i="13"/>
  <c r="J24" i="13" l="1"/>
  <c r="D30" i="13" s="1"/>
  <c r="D72" i="13"/>
  <c r="P186" i="13"/>
  <c r="R186" i="13" s="1"/>
  <c r="H58" i="13"/>
  <c r="H64" i="13"/>
  <c r="H62" i="13"/>
  <c r="H60" i="13"/>
  <c r="H65" i="13"/>
  <c r="H63" i="13"/>
  <c r="H59" i="13"/>
  <c r="K67" i="13"/>
  <c r="E72" i="13" s="1"/>
  <c r="P182" i="13"/>
  <c r="R182" i="13" s="1"/>
  <c r="R190" i="13" s="1"/>
  <c r="P188" i="13"/>
  <c r="R188" i="13" s="1"/>
  <c r="P184" i="13"/>
  <c r="R184" i="13" s="1"/>
  <c r="R183" i="13"/>
  <c r="P187" i="13"/>
  <c r="R187" i="13" s="1"/>
  <c r="P185" i="13"/>
  <c r="W178" i="13"/>
  <c r="Y172" i="13" s="1"/>
  <c r="P225" i="13"/>
  <c r="Q216" i="13" s="1"/>
  <c r="R213" i="13"/>
  <c r="G24" i="13"/>
  <c r="D38" i="13" s="1"/>
  <c r="E24" i="13"/>
  <c r="F15" i="15"/>
  <c r="D21" i="15" s="1"/>
  <c r="C25" i="15" s="1"/>
  <c r="N49" i="14"/>
  <c r="N58" i="14"/>
  <c r="N75" i="14"/>
  <c r="N84" i="14"/>
  <c r="N32" i="14"/>
  <c r="N23" i="14"/>
  <c r="V152" i="13"/>
  <c r="X152" i="13" s="1"/>
  <c r="Y152" i="13" s="1"/>
  <c r="V150" i="13"/>
  <c r="X150" i="13" s="1"/>
  <c r="Y150" i="13" s="1"/>
  <c r="V148" i="13"/>
  <c r="X148" i="13" s="1"/>
  <c r="Y148" i="13" s="1"/>
  <c r="V145" i="13"/>
  <c r="X145" i="13" s="1"/>
  <c r="Y145" i="13" s="1"/>
  <c r="V151" i="13"/>
  <c r="X151" i="13" s="1"/>
  <c r="V149" i="13"/>
  <c r="X149" i="13" s="1"/>
  <c r="V147" i="13"/>
  <c r="X147" i="13" s="1"/>
  <c r="V146" i="13"/>
  <c r="X146" i="13" s="1"/>
  <c r="Z146" i="13" s="1"/>
  <c r="W166" i="13"/>
  <c r="W169" i="13"/>
  <c r="W167" i="13"/>
  <c r="W168" i="13"/>
  <c r="R210" i="13"/>
  <c r="R212" i="13"/>
  <c r="P194" i="13"/>
  <c r="P193" i="13"/>
  <c r="D32" i="13" l="1"/>
  <c r="D42" i="13" s="1"/>
  <c r="E74" i="13"/>
  <c r="E84" i="13" s="1"/>
  <c r="G48" i="12"/>
  <c r="D74" i="13"/>
  <c r="P197" i="13"/>
  <c r="L90" i="14"/>
  <c r="N88" i="14"/>
  <c r="C38" i="13" s="1"/>
  <c r="P195" i="13"/>
  <c r="E78" i="13"/>
  <c r="D23" i="15"/>
  <c r="G41" i="12"/>
  <c r="L89" i="14"/>
  <c r="P199" i="13"/>
  <c r="P198" i="13"/>
  <c r="R185" i="13"/>
  <c r="P196" i="13"/>
  <c r="D27" i="15"/>
  <c r="K90" i="14"/>
  <c r="K88" i="14"/>
  <c r="G14" i="15" s="1"/>
  <c r="L88" i="14"/>
  <c r="Z145" i="13"/>
  <c r="K89" i="14"/>
  <c r="Z148" i="13"/>
  <c r="Z152" i="13"/>
  <c r="X169" i="13"/>
  <c r="X167" i="13"/>
  <c r="Q158" i="13"/>
  <c r="Z150" i="13"/>
  <c r="X166" i="13"/>
  <c r="X168" i="13"/>
  <c r="Y169" i="13"/>
  <c r="C34" i="13"/>
  <c r="D36" i="13"/>
  <c r="G44" i="12" s="1"/>
  <c r="Y167" i="13"/>
  <c r="Y149" i="13"/>
  <c r="Z149" i="13"/>
  <c r="Y146" i="13"/>
  <c r="P158" i="13" s="1"/>
  <c r="Y166" i="13"/>
  <c r="Y147" i="13"/>
  <c r="Z147" i="13"/>
  <c r="Q157" i="13"/>
  <c r="Y168" i="13"/>
  <c r="Y151" i="13"/>
  <c r="Z151" i="13"/>
  <c r="E86" i="13" l="1"/>
  <c r="D40" i="13"/>
  <c r="D44" i="13"/>
  <c r="E82" i="13"/>
  <c r="D66" i="13"/>
  <c r="E66" i="13" s="1"/>
  <c r="G13" i="15"/>
  <c r="G15" i="15" s="1"/>
  <c r="D29" i="15" s="1"/>
  <c r="C29" i="15" s="1"/>
  <c r="F55" i="12"/>
  <c r="D61" i="13"/>
  <c r="F44" i="12"/>
  <c r="R158" i="13"/>
  <c r="AA146" i="13"/>
  <c r="AA145" i="13"/>
  <c r="P157" i="13"/>
  <c r="R157" i="13" s="1"/>
  <c r="G43" i="12" l="1"/>
  <c r="H66" i="13"/>
  <c r="D33" i="15"/>
  <c r="D46" i="13"/>
  <c r="C46" i="13" s="1"/>
  <c r="D31" i="15"/>
  <c r="D35" i="15"/>
  <c r="E61" i="13"/>
  <c r="H61" i="13"/>
  <c r="L61" i="12" l="1"/>
  <c r="L62" i="12"/>
  <c r="L60" i="12"/>
  <c r="D37" i="15"/>
  <c r="C37" i="15" s="1"/>
  <c r="E67" i="13"/>
  <c r="D8" i="5"/>
  <c r="G16" i="12"/>
  <c r="F16" i="12" s="1"/>
  <c r="G51" i="12" l="1"/>
  <c r="F51" i="12" s="1"/>
  <c r="D88" i="13"/>
  <c r="E88" i="13"/>
  <c r="G50" i="12" l="1"/>
  <c r="D90" i="13"/>
  <c r="E90" i="13"/>
  <c r="C90" i="13" s="1"/>
  <c r="P15" i="10"/>
  <c r="M15" i="10"/>
  <c r="J15" i="10"/>
  <c r="G15" i="10"/>
  <c r="D15" i="10"/>
  <c r="P13" i="10"/>
  <c r="M13" i="10"/>
  <c r="J13" i="10"/>
  <c r="G13" i="10"/>
  <c r="D13" i="10"/>
  <c r="P11" i="10"/>
  <c r="M11" i="10"/>
  <c r="J11" i="10"/>
  <c r="G11" i="10"/>
  <c r="D11" i="10"/>
  <c r="P8" i="10"/>
  <c r="M8" i="10"/>
  <c r="J8" i="10"/>
  <c r="G8" i="10"/>
  <c r="D8" i="10"/>
  <c r="P6" i="10"/>
  <c r="M6" i="10"/>
  <c r="J6" i="10"/>
  <c r="G6" i="10"/>
  <c r="D6" i="10"/>
  <c r="P2" i="10"/>
  <c r="M2" i="10"/>
  <c r="J2" i="10"/>
  <c r="G2" i="10"/>
  <c r="D2" i="9"/>
  <c r="P17" i="9"/>
  <c r="P15" i="9"/>
  <c r="P13" i="9"/>
  <c r="P11" i="9"/>
  <c r="P8" i="9"/>
  <c r="P6" i="9"/>
  <c r="P2" i="9"/>
  <c r="M17" i="9"/>
  <c r="M15" i="9"/>
  <c r="M13" i="9"/>
  <c r="M11" i="9"/>
  <c r="M8" i="9"/>
  <c r="M6" i="9"/>
  <c r="M2" i="9"/>
  <c r="J17" i="9"/>
  <c r="J15" i="9"/>
  <c r="J13" i="9"/>
  <c r="J11" i="9"/>
  <c r="J8" i="9"/>
  <c r="J6" i="9"/>
  <c r="J2" i="9"/>
  <c r="G17" i="9"/>
  <c r="G15" i="9"/>
  <c r="G13" i="9"/>
  <c r="G11" i="9"/>
  <c r="G8" i="9"/>
  <c r="G6" i="9"/>
  <c r="G2" i="9"/>
  <c r="E92" i="13" l="1"/>
  <c r="E94" i="13" s="1"/>
  <c r="C94" i="13" s="1"/>
  <c r="K61" i="12"/>
  <c r="K62" i="12"/>
  <c r="K60" i="12"/>
  <c r="D92" i="13"/>
  <c r="G49" i="12" s="1"/>
  <c r="D9" i="10"/>
  <c r="J9" i="10"/>
  <c r="G9" i="10"/>
  <c r="P9" i="10"/>
  <c r="M9" i="10"/>
  <c r="J9" i="9"/>
  <c r="P9" i="9"/>
  <c r="M9" i="9"/>
  <c r="G9" i="9"/>
  <c r="P32" i="10" l="1"/>
  <c r="M32" i="10"/>
  <c r="J32" i="10"/>
  <c r="G32" i="10"/>
  <c r="D32" i="10"/>
  <c r="D94" i="13"/>
  <c r="F52" i="12"/>
  <c r="G53" i="12"/>
  <c r="F53" i="12" s="1"/>
  <c r="G35" i="12"/>
  <c r="F35" i="12" s="1"/>
  <c r="P19" i="10"/>
  <c r="P33" i="10" s="1"/>
  <c r="M19" i="10"/>
  <c r="J19" i="10"/>
  <c r="H67" i="13"/>
  <c r="C104" i="13"/>
  <c r="F49" i="12"/>
  <c r="G19" i="10"/>
  <c r="G33" i="10" s="1"/>
  <c r="D19" i="10"/>
  <c r="J19" i="9"/>
  <c r="J21" i="9" s="1"/>
  <c r="G19" i="9"/>
  <c r="P19" i="9"/>
  <c r="M19" i="9"/>
  <c r="D11" i="9"/>
  <c r="D8" i="9"/>
  <c r="D6" i="9"/>
  <c r="D9" i="9" s="1"/>
  <c r="D17" i="9"/>
  <c r="D15" i="9"/>
  <c r="D13" i="9"/>
  <c r="P41" i="10" l="1"/>
  <c r="P37" i="10"/>
  <c r="P38" i="10" s="1"/>
  <c r="P42" i="10" s="1"/>
  <c r="M21" i="10"/>
  <c r="M22" i="10" s="1"/>
  <c r="M33" i="10"/>
  <c r="M41" i="10"/>
  <c r="M37" i="10"/>
  <c r="M38" i="10" s="1"/>
  <c r="M42" i="10" s="1"/>
  <c r="J21" i="10"/>
  <c r="J22" i="10" s="1"/>
  <c r="J33" i="10"/>
  <c r="J37" i="10"/>
  <c r="J38" i="10" s="1"/>
  <c r="J42" i="10" s="1"/>
  <c r="J41" i="10"/>
  <c r="G41" i="10"/>
  <c r="G37" i="10"/>
  <c r="G38" i="10" s="1"/>
  <c r="G42" i="10" s="1"/>
  <c r="D33" i="10"/>
  <c r="D37" i="10"/>
  <c r="D38" i="10" s="1"/>
  <c r="D42" i="10" s="1"/>
  <c r="D41" i="10"/>
  <c r="D32" i="9"/>
  <c r="G34" i="12"/>
  <c r="P21" i="10"/>
  <c r="P22" i="10" s="1"/>
  <c r="G21" i="9"/>
  <c r="G22" i="9" s="1"/>
  <c r="G21" i="10"/>
  <c r="G22" i="10" s="1"/>
  <c r="D21" i="10"/>
  <c r="D22" i="10" s="1"/>
  <c r="P21" i="9"/>
  <c r="P22" i="9" s="1"/>
  <c r="M21" i="9"/>
  <c r="M22" i="9" s="1"/>
  <c r="J22" i="9"/>
  <c r="G23" i="12"/>
  <c r="F23" i="12" l="1"/>
  <c r="F36" i="12"/>
  <c r="G37" i="12"/>
  <c r="G38" i="12" s="1"/>
  <c r="F34" i="12"/>
  <c r="D19" i="9"/>
  <c r="D33" i="9" l="1"/>
  <c r="D37" i="9"/>
  <c r="D38" i="9" s="1"/>
  <c r="D42" i="9" s="1"/>
  <c r="D41" i="9"/>
  <c r="I61" i="12"/>
  <c r="I60" i="12"/>
  <c r="I62" i="12"/>
  <c r="G22" i="12"/>
  <c r="F24" i="12" s="1"/>
  <c r="G29" i="12" s="1"/>
  <c r="G30" i="12" s="1"/>
  <c r="F37" i="12"/>
  <c r="G39" i="12"/>
  <c r="F39" i="12" s="1"/>
  <c r="D21" i="9"/>
  <c r="D22" i="9" s="1"/>
  <c r="J6" i="5"/>
  <c r="J62" i="12" l="1"/>
  <c r="J61" i="12"/>
  <c r="J60" i="12"/>
  <c r="F22" i="12"/>
  <c r="G31" i="12"/>
  <c r="F31" i="12" s="1"/>
  <c r="G25" i="12"/>
  <c r="F25" i="12" s="1"/>
  <c r="F26" i="12"/>
  <c r="D6" i="5"/>
  <c r="J8" i="5"/>
  <c r="F29" i="12" l="1"/>
  <c r="P17" i="5"/>
  <c r="P15" i="5"/>
  <c r="P13" i="5"/>
  <c r="P11" i="5"/>
  <c r="M17" i="5"/>
  <c r="M15" i="5"/>
  <c r="M13" i="5"/>
  <c r="M11" i="5"/>
  <c r="J17" i="5"/>
  <c r="J15" i="5"/>
  <c r="J13" i="5"/>
  <c r="J11" i="5"/>
  <c r="J9" i="5"/>
  <c r="G17" i="5"/>
  <c r="G15" i="5"/>
  <c r="G13" i="5"/>
  <c r="G11" i="5"/>
  <c r="G6" i="5"/>
  <c r="D15" i="5"/>
  <c r="D13" i="5"/>
  <c r="G10" i="12" l="1"/>
  <c r="F10" i="12" s="1"/>
  <c r="D19" i="5"/>
  <c r="D34" i="5" s="1"/>
  <c r="G8" i="5"/>
  <c r="P6" i="5"/>
  <c r="P8" i="5"/>
  <c r="P9" i="5" s="1"/>
  <c r="M6" i="5"/>
  <c r="M8" i="5"/>
  <c r="J19" i="5"/>
  <c r="J21" i="5" s="1"/>
  <c r="J22" i="5" s="1"/>
  <c r="D42" i="5" l="1"/>
  <c r="D38" i="5"/>
  <c r="D39" i="5" s="1"/>
  <c r="D43" i="5" s="1"/>
  <c r="P19" i="5"/>
  <c r="P21" i="5" s="1"/>
  <c r="P22" i="5" s="1"/>
  <c r="D22" i="5"/>
  <c r="G9" i="5"/>
  <c r="M9" i="5"/>
  <c r="M19" i="5" l="1"/>
  <c r="M21" i="5" s="1"/>
  <c r="M22" i="5" s="1"/>
  <c r="G11" i="12"/>
  <c r="G13" i="12" s="1"/>
  <c r="G19" i="5"/>
  <c r="G9" i="12" l="1"/>
  <c r="F12" i="12" s="1"/>
  <c r="G17" i="12" s="1"/>
  <c r="F17" i="12" s="1"/>
  <c r="F11" i="12"/>
  <c r="G21" i="5"/>
  <c r="G22" i="5" s="1"/>
  <c r="F9" i="12" l="1"/>
  <c r="G18" i="12"/>
  <c r="H60" i="12" s="1"/>
  <c r="G63" i="12" l="1"/>
  <c r="G60" i="12" s="1"/>
  <c r="H62" i="12"/>
  <c r="H61" i="12"/>
  <c r="G19" i="12"/>
  <c r="D48" i="13"/>
  <c r="G42" i="12" s="1"/>
  <c r="C102" i="13"/>
  <c r="C106" i="13" s="1"/>
  <c r="G61" i="12" l="1"/>
  <c r="G62" i="12"/>
  <c r="D50" i="13"/>
  <c r="C50" i="13" s="1"/>
  <c r="I24" i="13" s="1"/>
  <c r="F19" i="12"/>
  <c r="F42" i="12"/>
  <c r="G46" i="12"/>
  <c r="F56" i="12" s="1"/>
  <c r="F45" i="12"/>
  <c r="G65" i="12" l="1"/>
  <c r="F57" i="12"/>
  <c r="F46" i="12"/>
  <c r="H56" i="12" l="1"/>
  <c r="H57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tc={7B519602-4A2D-4125-9724-B4F15A9A661B}</author>
  </authors>
  <commentList>
    <comment ref="D3" authorId="0" shapeId="0" xr:uid="{00000000-0006-0000-00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 percentual global da Accerte é 16%, mas para negócios de governo ficou definido10% por conta do volume de faturamento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tc={D4A2F80A-9C59-49A8-9A36-67B3CC77607B}</author>
  </authors>
  <commentList>
    <comment ref="D3" authorId="0" shapeId="0" xr:uid="{00000000-0006-0000-03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 percentual global da Accerte é 16%, mas para negócios de governo ficou definido10% por conta do volume de faturamento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tc={A3988EA7-FC4B-45AD-AC4D-9EC46052B4DB}</author>
  </authors>
  <commentList>
    <comment ref="D3" authorId="0" shapeId="0" xr:uid="{00000000-0006-0000-04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 percentual global da Accerte é 16%, mas para negócios de governo ficou definido10% por conta do volume de faturamento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tc={87F516C9-78BC-4B6F-ADEA-2C2A4BC47D66}</author>
  </authors>
  <commentList>
    <comment ref="D10" authorId="0" shapeId="0" xr:uid="{00000000-0006-0000-06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 percentual global da Accerte é 16%, mas para negócios de governo ficou definido10% por conta do volume de faturamento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tc={614977F3-D7EA-495B-9C22-AD2DE059A469}</author>
  </authors>
  <commentList>
    <comment ref="D10" authorId="0" shapeId="0" xr:uid="{00000000-0006-0000-07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 percentual global da Accerte é 16%, mas para negócios de governo ficou definido10% por conta do volume de faturamento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Isadora Prado</author>
    <author>tc={D96CDFD5-7713-47B2-B462-B5E38D665EE0}</author>
    <author>tc={41E0B76B-F05B-4082-B434-6DE6FCE131FF}</author>
    <author>tc={FFDCC0F3-3822-4D08-90D0-9E71D32699BA}</author>
    <author>tc={3D39F102-08D4-474B-A910-14BAE3FB17BB}</author>
  </authors>
  <commentList>
    <comment ref="E9" authorId="0" shapeId="0" xr:uid="{7367AB0C-FDD5-472C-93E1-6E3D8F9D7C5F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quantidade total de horas do serviço</t>
        </r>
      </text>
    </comment>
    <comment ref="F9" authorId="0" shapeId="0" xr:uid="{00000000-0006-0000-0800-000002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o valor extra gasto com tercerização daquele serviço em especifico</t>
        </r>
      </text>
    </comment>
    <comment ref="H9" authorId="0" shapeId="0" xr:uid="{206E39BC-D905-40C2-BEFB-A462E6322E3F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o valor da hora a ser cobrado do cliente</t>
        </r>
      </text>
    </comment>
    <comment ref="I9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a margem de lucro bruta </t>
        </r>
      </text>
    </comment>
    <comment ref="E24" authorId="0" shapeId="0" xr:uid="{CE20BF6F-0F47-4F4A-B645-249925A54133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total de horas de todos os serviços</t>
        </r>
      </text>
    </comment>
    <comment ref="F24" authorId="0" shapeId="0" xr:uid="{1FE49E0C-211C-4CAB-A1CF-6FFD125C2BEB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total do custo de serviços terceiros</t>
        </r>
      </text>
    </comment>
    <comment ref="G24" authorId="0" shapeId="0" xr:uid="{0121E7C5-C4B8-41B7-8738-6D3EF0E02E8F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total do custo operacional</t>
        </r>
      </text>
    </comment>
    <comment ref="H24" authorId="0" shapeId="0" xr:uid="{635C8846-19B7-4D1A-BE7C-D5B86F338E71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média ponderada</t>
        </r>
      </text>
    </comment>
    <comment ref="C32" authorId="1" shapeId="0" xr:uid="{D96CDFD5-7713-47B2-B462-B5E38D665EE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  <comment ref="C36" authorId="0" shapeId="0" xr:uid="{A49FB20C-ECE6-4CC6-B343-DBAC471B4264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percentual base que poderá sofrer alterações</t>
        </r>
      </text>
    </comment>
    <comment ref="C48" authorId="2" shapeId="0" xr:uid="{41E0B76B-F05B-4082-B434-6DE6FCE131F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já está sendo considerado acima</t>
      </text>
    </comment>
    <comment ref="A57" authorId="0" shapeId="0" xr:uid="{00000000-0006-0000-0800-000005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selecionar o tipo de contrato</t>
        </r>
      </text>
    </comment>
    <comment ref="B57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>Isadora Prado: Escolher a equipe envolvida</t>
        </r>
      </text>
    </comment>
    <comment ref="C57" authorId="0" shapeId="0" xr:uid="{00000000-0006-0000-0800-000007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a franquia de horas negociada para essa equipe em todo o contrato</t>
        </r>
      </text>
    </comment>
    <comment ref="F57" authorId="0" shapeId="0" xr:uid="{00000000-0006-0000-0800-000008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o valor total do contrato. Se quiser ver o valor mensal basta colocar a franquia de horas mensais e no tempo de contrato inserir 1 mês</t>
        </r>
      </text>
    </comment>
    <comment ref="I57" authorId="0" shapeId="0" xr:uid="{00000000-0006-0000-0800-000009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se terá algum custo com tercerização durante o tempo do contrato</t>
        </r>
      </text>
    </comment>
    <comment ref="J57" authorId="0" shapeId="0" xr:uid="{00000000-0006-0000-0800-00000A000000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o tempo do contrato em meses</t>
        </r>
      </text>
    </comment>
    <comment ref="C74" authorId="3" shapeId="0" xr:uid="{FFDCC0F3-3822-4D08-90D0-9E71D32699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  <comment ref="C92" authorId="4" shapeId="0" xr:uid="{3D39F102-08D4-474B-A910-14BAE3FB17B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Já está sendo considerado acima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Isadora Prado</author>
  </authors>
  <commentList>
    <comment ref="H56" authorId="0" shapeId="0" xr:uid="{CC95D606-B0E9-43B4-9B64-FA8178C834F8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Lucro final após pagamento do parceiro</t>
        </r>
      </text>
    </comment>
    <comment ref="H57" authorId="0" shapeId="0" xr:uid="{7174BC3E-06A4-4F90-BE24-8C99C80193ED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Margem liquida final real</t>
        </r>
      </text>
    </comment>
    <comment ref="F60" authorId="0" shapeId="0" xr:uid="{C8FD6C39-BB14-4631-A10C-B90C4802E20B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o percentual e os envolvidos</t>
        </r>
      </text>
    </comment>
    <comment ref="F65" authorId="0" shapeId="0" xr:uid="{298160BC-C4D6-4F76-88CA-F79BEE52D149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Inserir percentual da comissão do parceiro</t>
        </r>
      </text>
    </comment>
    <comment ref="G65" authorId="0" shapeId="0" xr:uid="{40318F1B-6095-4A36-8B68-060BBFC94C6C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Valor a ser pago para o parceiro &gt; calculado em cima do valor de lucro liquido da Accerte</t>
        </r>
      </text>
    </comment>
  </commentList>
</comments>
</file>

<file path=xl/sharedStrings.xml><?xml version="1.0" encoding="utf-8"?>
<sst xmlns="http://schemas.openxmlformats.org/spreadsheetml/2006/main" count="620" uniqueCount="286">
  <si>
    <t>Valores propostos</t>
  </si>
  <si>
    <t xml:space="preserve">Faixas de margem bruta </t>
  </si>
  <si>
    <t>LOTE</t>
  </si>
  <si>
    <t>Item</t>
  </si>
  <si>
    <t>Produto</t>
  </si>
  <si>
    <t>Métrica</t>
  </si>
  <si>
    <t>Qtde</t>
  </si>
  <si>
    <t xml:space="preserve">Valor Unitário </t>
  </si>
  <si>
    <t>Valor mensal</t>
  </si>
  <si>
    <t>Valor Total / Valor Total do contrato</t>
  </si>
  <si>
    <t>Tipo</t>
  </si>
  <si>
    <t>Margem Accerte</t>
  </si>
  <si>
    <t>Lucro Accerte</t>
  </si>
  <si>
    <t>CUSTO</t>
  </si>
  <si>
    <t>CUSTO adm e operacional VARIÁVEL</t>
  </si>
  <si>
    <t>Total custo adm e operacional variável</t>
  </si>
  <si>
    <t>percentual do custo adml variável</t>
  </si>
  <si>
    <t>inserir percentual do custo adm variável</t>
  </si>
  <si>
    <t>Custo do serviço</t>
  </si>
  <si>
    <t>inserir preço do serviço</t>
  </si>
  <si>
    <t>percentual pis cofins dos produtos</t>
  </si>
  <si>
    <t>inserir percentual de pis cofins na compra</t>
  </si>
  <si>
    <t>crédito PIS COFINS (9,25%)</t>
  </si>
  <si>
    <t>percentual crédito ICMS dos produtos</t>
  </si>
  <si>
    <t>inserir percentual de icms na compra</t>
  </si>
  <si>
    <t xml:space="preserve">crédito ICMS </t>
  </si>
  <si>
    <t>custo do produto + serviço</t>
  </si>
  <si>
    <t>percentual custo operacional</t>
  </si>
  <si>
    <t>custo operacional</t>
  </si>
  <si>
    <t>percentual ISSQN</t>
  </si>
  <si>
    <t>inserir percentual de ISSQN</t>
  </si>
  <si>
    <t>VENDA</t>
  </si>
  <si>
    <t>ISSQN</t>
  </si>
  <si>
    <t>percentual pis cofins na prestação</t>
  </si>
  <si>
    <t>inserir percentual de pis cofins</t>
  </si>
  <si>
    <t>PIS COFINS</t>
  </si>
  <si>
    <t>percentual irpj e csll</t>
  </si>
  <si>
    <t>inserir percentual de irpj e csll</t>
  </si>
  <si>
    <t>IRPJ e CSLL</t>
  </si>
  <si>
    <t>Preço de venda</t>
  </si>
  <si>
    <t xml:space="preserve">Preço de venda UNITÁRIO </t>
  </si>
  <si>
    <t>percentual de lucro</t>
  </si>
  <si>
    <t>LUCRO</t>
  </si>
  <si>
    <t>% do ponto de equil/venda</t>
  </si>
  <si>
    <t>percentual de lucro desejado</t>
  </si>
  <si>
    <t>CÁLCULO</t>
  </si>
  <si>
    <t>Identificação do SERVIÇO</t>
  </si>
  <si>
    <t>Quantidade</t>
  </si>
  <si>
    <t>Preço total</t>
  </si>
  <si>
    <t>Preço de referência do edital</t>
  </si>
  <si>
    <t>Custos totais</t>
  </si>
  <si>
    <t>Total de impostos</t>
  </si>
  <si>
    <t>Total do percentual de comissionamento</t>
  </si>
  <si>
    <t>Margem final por item</t>
  </si>
  <si>
    <t>Lucro final Accerte</t>
  </si>
  <si>
    <t>Percentual de retenção</t>
  </si>
  <si>
    <t>Margem final por item após retenção</t>
  </si>
  <si>
    <t>Lucro final por item após retenção</t>
  </si>
  <si>
    <t>CUSTO OPERACIONAL FIXO</t>
  </si>
  <si>
    <t>inserir custo operacional fixo</t>
  </si>
  <si>
    <t>total custo adm e operacional variável</t>
  </si>
  <si>
    <t>percentual do custo adm e operacional variável</t>
  </si>
  <si>
    <t>custo dos produtos utilizados no serviço</t>
  </si>
  <si>
    <t>inserir preço UNITÁRIO  dos produtos utilizados na prestação</t>
  </si>
  <si>
    <t>percentual do custo operacional variável</t>
  </si>
  <si>
    <t>inserir percentual do custo operacional variável</t>
  </si>
  <si>
    <t>inserir preço UNITÁRIO dos produtos utilizados na prestação</t>
  </si>
  <si>
    <t>Preço UNITÁRIO</t>
  </si>
  <si>
    <t>valor da mercadoria com FRETE</t>
  </si>
  <si>
    <t>COMPRA</t>
  </si>
  <si>
    <t>FRETE (Valor)</t>
  </si>
  <si>
    <t xml:space="preserve">inserir o valor do frete para o item </t>
  </si>
  <si>
    <t>valor da mercadoria vazio</t>
  </si>
  <si>
    <t>inserir valor da mercadoria  UNITÁRIO</t>
  </si>
  <si>
    <t>percentual pis cofins</t>
  </si>
  <si>
    <t>percentual crédito ICMS</t>
  </si>
  <si>
    <t>custo da mercadoria</t>
  </si>
  <si>
    <t>percentual custo operacional e adm</t>
  </si>
  <si>
    <t>inserir percentual do custo operacional e adm</t>
  </si>
  <si>
    <t>percentual ICMS venda</t>
  </si>
  <si>
    <t>inserir percentual de icms na venda</t>
  </si>
  <si>
    <t>ICMS venda</t>
  </si>
  <si>
    <t>percentual pis cofins venda</t>
  </si>
  <si>
    <t>inserir percentual de pis cofins na venda</t>
  </si>
  <si>
    <t>percentual de DIFAL</t>
  </si>
  <si>
    <t>inserir percentual de DIFAL</t>
  </si>
  <si>
    <t>DIFAL</t>
  </si>
  <si>
    <t>Preço de venda UNITÁRIO</t>
  </si>
  <si>
    <t>fretista é do simples?</t>
  </si>
  <si>
    <t>Sim</t>
  </si>
  <si>
    <t>valor da mercadoria + FRETE</t>
  </si>
  <si>
    <t>inserir valor da MERCADORIA UNITÁRIO</t>
  </si>
  <si>
    <t>Serviços de consultoria avulso</t>
  </si>
  <si>
    <t>SERVIÇO</t>
  </si>
  <si>
    <t>Selecionar equipe</t>
  </si>
  <si>
    <t>Total de horas</t>
  </si>
  <si>
    <t>Custo de tercerização</t>
  </si>
  <si>
    <t>Custo operacional</t>
  </si>
  <si>
    <t>Valor cobrado por hora</t>
  </si>
  <si>
    <t>Margem de Lucro Bruta</t>
  </si>
  <si>
    <t>Valor</t>
  </si>
  <si>
    <t>Análise financeira para serviços de consultoria</t>
  </si>
  <si>
    <t>Previsão</t>
  </si>
  <si>
    <t>Percentual</t>
  </si>
  <si>
    <t>Valor total</t>
  </si>
  <si>
    <t>Faturamento</t>
  </si>
  <si>
    <t>Imposto a ser pago pela accerte</t>
  </si>
  <si>
    <t>Custo com tercerização do serviço</t>
  </si>
  <si>
    <t>Custos Administrativos e despesas estimadas</t>
  </si>
  <si>
    <t>Custos Operacionais estimados</t>
  </si>
  <si>
    <t>Comissão executivo de vendas</t>
  </si>
  <si>
    <t xml:space="preserve">Comissão Gerente de Vendas </t>
  </si>
  <si>
    <t>Comissão Backoffice</t>
  </si>
  <si>
    <t>Lucro  Bruto</t>
  </si>
  <si>
    <t>Lucro líquido accerte</t>
  </si>
  <si>
    <t>Serviços de sustentação</t>
  </si>
  <si>
    <t>Tipo de contrato</t>
  </si>
  <si>
    <t>Equipe envolvida</t>
  </si>
  <si>
    <t>Quantidade de horas totais do contrato</t>
  </si>
  <si>
    <t>Custo da hora de equipe</t>
  </si>
  <si>
    <t>Custo total do contrato</t>
  </si>
  <si>
    <t>Valor total do contrato</t>
  </si>
  <si>
    <t xml:space="preserve">Preço da hora </t>
  </si>
  <si>
    <t>Margem bruta</t>
  </si>
  <si>
    <t>Custo com terceirização total</t>
  </si>
  <si>
    <t>Tempo de contrato</t>
  </si>
  <si>
    <t>Valor mensal do contrato</t>
  </si>
  <si>
    <t>24 horas/7 dias</t>
  </si>
  <si>
    <t>Total</t>
  </si>
  <si>
    <t>Lucro Líquido</t>
  </si>
  <si>
    <t>Análise financeira para serviços de sustentação</t>
  </si>
  <si>
    <t>Análise valor TOTAL</t>
  </si>
  <si>
    <t>Valor MENSAL</t>
  </si>
  <si>
    <t>Custos operacionais estimados</t>
  </si>
  <si>
    <t xml:space="preserve">Comissão Gerente de vendas </t>
  </si>
  <si>
    <t>Comissão de terceiros</t>
  </si>
  <si>
    <t>Lucro bruto</t>
  </si>
  <si>
    <t xml:space="preserve">Quadro resumo </t>
  </si>
  <si>
    <t>Lucro em serviços de consutoria</t>
  </si>
  <si>
    <t>Lucro em serviços de sustentação</t>
  </si>
  <si>
    <t>Lucro total</t>
  </si>
  <si>
    <t xml:space="preserve">Tipo </t>
  </si>
  <si>
    <t>Custo bruto Accerte</t>
  </si>
  <si>
    <t>ICMS</t>
  </si>
  <si>
    <t>PIS</t>
  </si>
  <si>
    <t>COFINS</t>
  </si>
  <si>
    <t>ISS</t>
  </si>
  <si>
    <t>Custo liquido Accerte</t>
  </si>
  <si>
    <t>MRG</t>
  </si>
  <si>
    <t xml:space="preserve">Venda Líquida </t>
  </si>
  <si>
    <t>Venda Bruto</t>
  </si>
  <si>
    <t>Margem Líquida</t>
  </si>
  <si>
    <t>Cálculo da Margem Líquida</t>
  </si>
  <si>
    <t>ESTADO DE SÃO PAULO</t>
  </si>
  <si>
    <t>Hardware</t>
  </si>
  <si>
    <t>OUTROS ESTADOS</t>
  </si>
  <si>
    <t>Instalação</t>
  </si>
  <si>
    <t>Acs/Logico</t>
  </si>
  <si>
    <t>Suporte</t>
  </si>
  <si>
    <t>Imposto</t>
  </si>
  <si>
    <t>Simulador</t>
  </si>
  <si>
    <t>Instalações</t>
  </si>
  <si>
    <t>ACS/logico</t>
  </si>
  <si>
    <t>Média</t>
  </si>
  <si>
    <t>percentual Accerte</t>
  </si>
  <si>
    <t>Software</t>
  </si>
  <si>
    <t>Análise financeira</t>
  </si>
  <si>
    <t>Produtos/Hardware</t>
  </si>
  <si>
    <t xml:space="preserve">Total de impostos </t>
  </si>
  <si>
    <t>Total de custo adm e operacional variável</t>
  </si>
  <si>
    <t>Total de custo da mercadoria</t>
  </si>
  <si>
    <t xml:space="preserve">Custo total Accerte </t>
  </si>
  <si>
    <t>Custeio com capital próprio</t>
  </si>
  <si>
    <t>Custeio com capital de terceiros</t>
  </si>
  <si>
    <t xml:space="preserve">Valor total do empréstimo </t>
  </si>
  <si>
    <t>Juros pagos</t>
  </si>
  <si>
    <t>Total de Comissões</t>
  </si>
  <si>
    <t>Margem de Lucro Líquida</t>
  </si>
  <si>
    <t>Total de custos do serviço de revenda</t>
  </si>
  <si>
    <t>Serviços</t>
  </si>
  <si>
    <t>Faturamento Total Serviços</t>
  </si>
  <si>
    <t xml:space="preserve">Total de impostos Serviços </t>
  </si>
  <si>
    <t>Total de custos de mercadoria</t>
  </si>
  <si>
    <t>Total de impostos Serviços de consultoria avulso</t>
  </si>
  <si>
    <t xml:space="preserve">Total de comissões </t>
  </si>
  <si>
    <t>Total de custos operacionais</t>
  </si>
  <si>
    <t>Faturamento Total</t>
  </si>
  <si>
    <t>Lucro total final</t>
  </si>
  <si>
    <t>Percentual de lucro líquido</t>
  </si>
  <si>
    <t>TOTAL</t>
  </si>
  <si>
    <t>HARDWARE</t>
  </si>
  <si>
    <t>SOFTWARE (Licença)</t>
  </si>
  <si>
    <t>SERVIÇO DE REVENDA</t>
  </si>
  <si>
    <t>SERVIÇO DE SUSTENTAÇÃO</t>
  </si>
  <si>
    <t>SERVIÇO DE CONSULTORIA AVULSO</t>
  </si>
  <si>
    <t>Executivo de vendas</t>
  </si>
  <si>
    <t>Gerente de vendas</t>
  </si>
  <si>
    <t>Backoffice</t>
  </si>
  <si>
    <t>Total de comissões internas</t>
  </si>
  <si>
    <t>Comissão Parceiro</t>
  </si>
  <si>
    <t>Planilha de custos Accerte (GOV)</t>
  </si>
  <si>
    <t>Custos operacionais equipe de DBAs</t>
  </si>
  <si>
    <t>Equipe Operacional</t>
  </si>
  <si>
    <t>Sálarios</t>
  </si>
  <si>
    <t>Fator de correção encargos sociais</t>
  </si>
  <si>
    <t>Valor Total</t>
  </si>
  <si>
    <t>DBA sobre regime de Pessoa Juríca</t>
  </si>
  <si>
    <t>DBA sobre regime CLT</t>
  </si>
  <si>
    <t>Estagiários</t>
  </si>
  <si>
    <t>Gerentes</t>
  </si>
  <si>
    <t>Gerente de projetos</t>
  </si>
  <si>
    <t xml:space="preserve">Softwares utilizados </t>
  </si>
  <si>
    <t>Custo unitário</t>
  </si>
  <si>
    <t>Softwares 1</t>
  </si>
  <si>
    <t>Softwares 2</t>
  </si>
  <si>
    <t>TOTAL DO CUSTO OPERACIONAL</t>
  </si>
  <si>
    <t>Quadro de horas equipe DBAs</t>
  </si>
  <si>
    <t>Horas de trabalho disponíveis por profissional durante o mês</t>
  </si>
  <si>
    <t>Total de horas disponíveis</t>
  </si>
  <si>
    <t>DBA sobre regime de Pessoa Jurídica</t>
  </si>
  <si>
    <t>Quantidade de horas total</t>
  </si>
  <si>
    <t>Custos operacionais equipe de infraestrutura</t>
  </si>
  <si>
    <t>Técnico em infraestrutura</t>
  </si>
  <si>
    <t>Quadro de horas equipe infraestrutura</t>
  </si>
  <si>
    <t>Custos operacionais equipe de BI</t>
  </si>
  <si>
    <t>Técnico BI</t>
  </si>
  <si>
    <t>Quadro de horas equipe BI</t>
  </si>
  <si>
    <t>Precificação da hora</t>
  </si>
  <si>
    <t>Tipos de contratos de sustentação</t>
  </si>
  <si>
    <t>Percentual de atendimento em horário comercial</t>
  </si>
  <si>
    <t>Percentual de atendimento fora do horário comercial</t>
  </si>
  <si>
    <t>Fator de adequação</t>
  </si>
  <si>
    <t>Equipe de banco de dados (DBAs)</t>
  </si>
  <si>
    <t>Equipe de infraestrutura</t>
  </si>
  <si>
    <t>Equipe de (BI)</t>
  </si>
  <si>
    <t>8 horas/5 dias</t>
  </si>
  <si>
    <t>24 horas/5 dias</t>
  </si>
  <si>
    <t>Custos administrativos e despesas</t>
  </si>
  <si>
    <t>Estimativa de custos administrativos e despesas</t>
  </si>
  <si>
    <t>Média de Faturamento últimos 12 meses</t>
  </si>
  <si>
    <t>Média dos custos Administrativos e despesas dos últimos 12 meses</t>
  </si>
  <si>
    <t>SIM</t>
  </si>
  <si>
    <t xml:space="preserve">Planilha de formação de preços para serviços avulsos (GOV) </t>
  </si>
  <si>
    <t xml:space="preserve">Simulador </t>
  </si>
  <si>
    <t>QTD. de horas</t>
  </si>
  <si>
    <t>Lista de serviços</t>
  </si>
  <si>
    <t>Valor da Hora trabalhada</t>
  </si>
  <si>
    <t>Adicional de terceiros</t>
  </si>
  <si>
    <t>Valor final</t>
  </si>
  <si>
    <t>Custo hora da equipe</t>
  </si>
  <si>
    <t>EQUIPE</t>
  </si>
  <si>
    <t>BI</t>
  </si>
  <si>
    <t>INFRAESTRUTURA</t>
  </si>
  <si>
    <t>BANCO DE DADOS</t>
  </si>
  <si>
    <t>Análise financeira para serviços de consultoria (GOV)</t>
  </si>
  <si>
    <t>Comissão gerente de vendas</t>
  </si>
  <si>
    <t>Comissão assitente de vendas</t>
  </si>
  <si>
    <t>Lucro Accerte já descontado comissões e imposto</t>
  </si>
  <si>
    <t xml:space="preserve">Nome do Serviço </t>
  </si>
  <si>
    <t>Quantidade horas</t>
  </si>
  <si>
    <t>Valor da hora trabalhada</t>
  </si>
  <si>
    <t>Lucro estimado por serviço</t>
  </si>
  <si>
    <t>Preço de custo</t>
  </si>
  <si>
    <t>Percentual de lucratividade (margem de segurança)</t>
  </si>
  <si>
    <t>Deploy ODA HA Bare Metal (base &gt;=2TB)</t>
  </si>
  <si>
    <t>Deploy ODA HA Bare Metal (base &lt; 2TB &gt;=800GB)</t>
  </si>
  <si>
    <t>Deploy ODA HA Bare Metal ( base &lt; 800GB)</t>
  </si>
  <si>
    <t>Deploy ODA HA Virtualizado ( base &gt;= 2TB)</t>
  </si>
  <si>
    <t>Deploy ODA HA Virtualizado (base &lt; 2TB &gt;= 800GB)</t>
  </si>
  <si>
    <t>Deploy ODA HA Virtualizado (base &lt;800GB)</t>
  </si>
  <si>
    <t>Deploy ODA S/M</t>
  </si>
  <si>
    <t>Migração de Banco de Dados (base &gt;=2TB)</t>
  </si>
  <si>
    <t>Migração de Banco de Dados (base &lt; 2TB  &gt;=800GB)</t>
  </si>
  <si>
    <t>Migração de Banco de Dados (base &lt;800GB)</t>
  </si>
  <si>
    <t>Instalação de Servidor de Banco de Dados</t>
  </si>
  <si>
    <t>Implementação Oracle Dataguard</t>
  </si>
  <si>
    <t>Instalação e Migração Exacc AGU</t>
  </si>
  <si>
    <t>Consultoria Exacc AGU</t>
  </si>
  <si>
    <t xml:space="preserve">Implementção Cloud Backup Service </t>
  </si>
  <si>
    <t xml:space="preserve">Criação de instância de banco de dados </t>
  </si>
  <si>
    <t>Setup Cloud (&lt;=15 maquinas)</t>
  </si>
  <si>
    <t>Setup Cloud (&gt;=15 &lt;=30 maquinas)</t>
  </si>
  <si>
    <t>Setup Cloud (&gt;=30 maquinas)</t>
  </si>
  <si>
    <t>Criação de VM na cloud</t>
  </si>
  <si>
    <t>Implementação do Firewall Fortinet</t>
  </si>
  <si>
    <t>Implementação do Active Directory (AD)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</si>
</sst>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%"/>
    <numFmt numFmtId="167" formatCode="_-* #,##0.00000_-;\-* #,##0.00000_-;_-* &quot;-&quot;??_-;_-@_-"/>
    <numFmt numFmtId="168" formatCode="0.000000%"/>
    <numFmt numFmtId="169" formatCode="_-&quot;R$&quot;* #,##0.000_-;\-&quot;R$&quot;* #,##0.000_-;_-&quot;R$&quot;* &quot;-&quot;???_-;_-@_-"/>
    <numFmt numFmtId="170" formatCode="_-&quot;R$&quot;* #,##0.00_-;\-&quot;R$&quot;* #,##0.00_-;_-&quot;R$&quot;* &quot;-&quot;???_-;_-@_-"/>
    <numFmt numFmtId="171" formatCode="0.000%"/>
    <numFmt numFmtId="172" formatCode="&quot;R$&quot;#,##0.00"/>
    <numFmt numFmtId="173" formatCode="0\ &quot;meses&quot;"/>
    <numFmt numFmtId="174" formatCode="0\ &quot;Horas&quot;"/>
    <numFmt numFmtId="175" formatCode="0\ &quot;horas&quot;"/>
    <numFmt numFmtId="176" formatCode="_-[$R$-416]\ * #,##0.00_-;\-[$R$-416]\ * #,##0.00_-;_-[$R$-416]\ * &quot;-&quot;??_-;_-@_-"/>
    <numFmt numFmtId="177" formatCode="#,###\ &quot;horas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 val="singleAccounting"/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2" tint="-0.249977111117893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rgb="FFFF928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2E8"/>
        <bgColor indexed="64"/>
      </patternFill>
    </fill>
    <fill>
      <patternFill patternType="solid">
        <fgColor rgb="FFFCE2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504D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hair">
        <color rgb="FFFEF6F0"/>
      </left>
      <right style="hair">
        <color rgb="FFFEF6F0"/>
      </right>
      <top/>
      <bottom/>
      <diagonal/>
    </border>
    <border>
      <left style="hair">
        <color rgb="FFFEF6F0"/>
      </left>
      <right style="hair">
        <color rgb="FFFEF6F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hair">
        <color rgb="FFFEF6F0"/>
      </left>
      <right style="hair">
        <color rgb="FFFEF6F0"/>
      </right>
      <top/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9" borderId="4" applyNumberForma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44" fontId="1" fillId="0" borderId="0" applyFont="0" applyFill="0" applyBorder="0" applyAlignment="0" applyProtection="0"/>
  </cellStyleXfs>
  <cellXfs count="614">
    <xf numFmtId="0" fontId="0" fillId="0" borderId="0" xfId="0"/>
    <xf numFmtId="165" fontId="0" fillId="3" borderId="0" xfId="1" applyFont="1" applyFill="1" applyBorder="1" applyAlignment="1">
      <alignment vertical="center" wrapText="1"/>
    </xf>
    <xf numFmtId="165" fontId="5" fillId="12" borderId="0" xfId="6" applyNumberFormat="1" applyBorder="1" applyAlignment="1">
      <alignment horizontal="left" vertical="center" wrapText="1" indent="1"/>
    </xf>
    <xf numFmtId="165" fontId="5" fillId="15" borderId="0" xfId="9" applyNumberFormat="1" applyBorder="1" applyAlignment="1">
      <alignment horizontal="left" vertical="center" wrapText="1" indent="1"/>
    </xf>
    <xf numFmtId="165" fontId="5" fillId="14" borderId="0" xfId="8" applyNumberFormat="1" applyBorder="1" applyAlignment="1">
      <alignment horizontal="left" vertical="center" wrapText="1" indent="1"/>
    </xf>
    <xf numFmtId="165" fontId="5" fillId="17" borderId="0" xfId="11" applyNumberFormat="1" applyBorder="1" applyAlignment="1">
      <alignment horizontal="left" vertical="center" wrapText="1" indent="1"/>
    </xf>
    <xf numFmtId="165" fontId="5" fillId="13" borderId="0" xfId="7" applyNumberFormat="1" applyBorder="1" applyAlignment="1">
      <alignment horizontal="left" vertical="center" wrapText="1" indent="1"/>
    </xf>
    <xf numFmtId="165" fontId="5" fillId="11" borderId="0" xfId="5" applyNumberFormat="1" applyBorder="1" applyAlignment="1">
      <alignment horizontal="left" vertical="center" wrapText="1" indent="1"/>
    </xf>
    <xf numFmtId="165" fontId="5" fillId="10" borderId="0" xfId="4" applyNumberFormat="1" applyBorder="1" applyAlignment="1">
      <alignment horizontal="left" vertical="center" wrapText="1" indent="1"/>
    </xf>
    <xf numFmtId="165" fontId="2" fillId="6" borderId="0" xfId="1" applyFont="1" applyFill="1" applyBorder="1" applyAlignment="1">
      <alignment horizontal="right" vertical="center" wrapText="1"/>
    </xf>
    <xf numFmtId="165" fontId="2" fillId="4" borderId="0" xfId="1" applyFont="1" applyFill="1" applyBorder="1" applyAlignment="1">
      <alignment horizontal="right" vertical="center" wrapText="1"/>
    </xf>
    <xf numFmtId="165" fontId="0" fillId="4" borderId="0" xfId="1" applyFont="1" applyFill="1" applyBorder="1" applyAlignment="1">
      <alignment vertical="center" wrapText="1"/>
    </xf>
    <xf numFmtId="165" fontId="0" fillId="19" borderId="0" xfId="1" applyFont="1" applyFill="1" applyBorder="1" applyAlignment="1">
      <alignment vertical="center" wrapText="1"/>
    </xf>
    <xf numFmtId="165" fontId="0" fillId="20" borderId="0" xfId="1" applyFont="1" applyFill="1" applyBorder="1" applyAlignment="1">
      <alignment vertical="center" wrapText="1"/>
    </xf>
    <xf numFmtId="165" fontId="2" fillId="4" borderId="5" xfId="1" applyFont="1" applyFill="1" applyBorder="1" applyAlignment="1">
      <alignment horizontal="right" vertical="center" wrapText="1"/>
    </xf>
    <xf numFmtId="165" fontId="0" fillId="4" borderId="7" xfId="1" applyFont="1" applyFill="1" applyBorder="1" applyAlignment="1">
      <alignment vertical="center" wrapText="1"/>
    </xf>
    <xf numFmtId="165" fontId="2" fillId="6" borderId="0" xfId="1" applyFont="1" applyFill="1" applyBorder="1" applyAlignment="1">
      <alignment horizontal="left" vertical="center" wrapText="1" indent="1"/>
    </xf>
    <xf numFmtId="165" fontId="2" fillId="4" borderId="0" xfId="1" applyFont="1" applyFill="1" applyBorder="1" applyAlignment="1">
      <alignment horizontal="left" vertical="center" wrapText="1" indent="1"/>
    </xf>
    <xf numFmtId="165" fontId="2" fillId="6" borderId="5" xfId="1" applyFont="1" applyFill="1" applyBorder="1" applyAlignment="1">
      <alignment horizontal="right" vertical="center" wrapText="1"/>
    </xf>
    <xf numFmtId="10" fontId="0" fillId="6" borderId="7" xfId="2" applyNumberFormat="1" applyFont="1" applyFill="1" applyBorder="1" applyAlignment="1">
      <alignment vertical="center" wrapText="1"/>
    </xf>
    <xf numFmtId="165" fontId="5" fillId="18" borderId="0" xfId="12" applyNumberFormat="1" applyBorder="1" applyAlignment="1">
      <alignment horizontal="left" vertical="center" wrapText="1" indent="1"/>
    </xf>
    <xf numFmtId="9" fontId="2" fillId="21" borderId="0" xfId="2" applyFont="1" applyFill="1" applyBorder="1" applyAlignment="1">
      <alignment horizontal="left" vertical="center" wrapText="1" indent="1"/>
    </xf>
    <xf numFmtId="165" fontId="0" fillId="3" borderId="0" xfId="1" applyFont="1" applyFill="1" applyBorder="1" applyAlignment="1">
      <alignment horizontal="left" vertical="center" wrapText="1" indent="1"/>
    </xf>
    <xf numFmtId="9" fontId="2" fillId="8" borderId="0" xfId="2" applyFont="1" applyFill="1" applyBorder="1" applyAlignment="1">
      <alignment horizontal="left" vertical="center" wrapText="1" indent="1"/>
    </xf>
    <xf numFmtId="165" fontId="0" fillId="22" borderId="0" xfId="1" applyFont="1" applyFill="1" applyBorder="1" applyAlignment="1">
      <alignment horizontal="left" vertical="center" wrapText="1" indent="1"/>
    </xf>
    <xf numFmtId="165" fontId="0" fillId="22" borderId="0" xfId="1" applyFont="1" applyFill="1" applyBorder="1" applyAlignment="1">
      <alignment vertical="center" wrapText="1"/>
    </xf>
    <xf numFmtId="165" fontId="0" fillId="20" borderId="0" xfId="1" applyFont="1" applyFill="1" applyBorder="1" applyAlignment="1">
      <alignment horizontal="left" vertical="center" wrapText="1" indent="1"/>
    </xf>
    <xf numFmtId="9" fontId="10" fillId="2" borderId="1" xfId="2" applyFont="1" applyFill="1" applyBorder="1" applyAlignment="1">
      <alignment horizontal="center" vertical="center" wrapText="1"/>
    </xf>
    <xf numFmtId="165" fontId="6" fillId="2" borderId="3" xfId="1" applyFont="1" applyFill="1" applyBorder="1" applyAlignment="1">
      <alignment vertical="center" wrapText="1"/>
    </xf>
    <xf numFmtId="165" fontId="0" fillId="2" borderId="1" xfId="1" applyFont="1" applyFill="1" applyBorder="1" applyAlignment="1">
      <alignment vertical="center" wrapText="1"/>
    </xf>
    <xf numFmtId="10" fontId="0" fillId="2" borderId="2" xfId="2" applyNumberFormat="1" applyFont="1" applyFill="1" applyBorder="1" applyAlignment="1">
      <alignment vertical="center" wrapText="1"/>
    </xf>
    <xf numFmtId="10" fontId="0" fillId="2" borderId="3" xfId="2" applyNumberFormat="1" applyFont="1" applyFill="1" applyBorder="1" applyAlignment="1">
      <alignment vertical="center" wrapText="1"/>
    </xf>
    <xf numFmtId="165" fontId="0" fillId="19" borderId="0" xfId="1" applyFont="1" applyFill="1" applyBorder="1" applyAlignment="1">
      <alignment horizontal="left" vertical="center" wrapText="1" indent="1"/>
    </xf>
    <xf numFmtId="165" fontId="0" fillId="7" borderId="0" xfId="1" applyFont="1" applyFill="1" applyBorder="1" applyAlignment="1">
      <alignment horizontal="left" vertical="center" wrapText="1" indent="1"/>
    </xf>
    <xf numFmtId="10" fontId="0" fillId="22" borderId="0" xfId="2" applyNumberFormat="1" applyFont="1" applyFill="1" applyBorder="1" applyAlignment="1">
      <alignment vertical="center" wrapText="1"/>
    </xf>
    <xf numFmtId="165" fontId="0" fillId="23" borderId="0" xfId="1" applyFont="1" applyFill="1" applyBorder="1" applyAlignment="1">
      <alignment horizontal="left" vertical="center" wrapText="1" indent="1"/>
    </xf>
    <xf numFmtId="165" fontId="0" fillId="23" borderId="0" xfId="1" applyFont="1" applyFill="1" applyBorder="1" applyAlignment="1">
      <alignment vertical="center" wrapText="1"/>
    </xf>
    <xf numFmtId="166" fontId="3" fillId="23" borderId="0" xfId="3" applyNumberFormat="1" applyFill="1" applyBorder="1" applyAlignment="1">
      <alignment horizontal="center" vertical="center" wrapText="1"/>
    </xf>
    <xf numFmtId="9" fontId="2" fillId="8" borderId="5" xfId="2" applyFont="1" applyFill="1" applyBorder="1" applyAlignment="1">
      <alignment horizontal="center" vertical="center" wrapText="1"/>
    </xf>
    <xf numFmtId="10" fontId="0" fillId="8" borderId="7" xfId="2" applyNumberFormat="1" applyFont="1" applyFill="1" applyBorder="1" applyAlignment="1">
      <alignment vertical="center" wrapText="1"/>
    </xf>
    <xf numFmtId="165" fontId="9" fillId="6" borderId="0" xfId="1" applyFont="1" applyFill="1" applyBorder="1" applyAlignment="1">
      <alignment horizontal="right" vertical="center" wrapText="1"/>
    </xf>
    <xf numFmtId="9" fontId="2" fillId="21" borderId="5" xfId="2" applyFont="1" applyFill="1" applyBorder="1" applyAlignment="1">
      <alignment horizontal="center" vertical="center" wrapText="1"/>
    </xf>
    <xf numFmtId="165" fontId="4" fillId="24" borderId="0" xfId="1" applyFont="1" applyFill="1" applyBorder="1" applyAlignment="1">
      <alignment vertical="center" wrapText="1"/>
    </xf>
    <xf numFmtId="165" fontId="2" fillId="25" borderId="0" xfId="1" applyFont="1" applyFill="1" applyBorder="1" applyAlignment="1">
      <alignment horizontal="left" vertical="center" wrapText="1" indent="1"/>
    </xf>
    <xf numFmtId="9" fontId="2" fillId="25" borderId="0" xfId="2" applyFont="1" applyFill="1" applyBorder="1" applyAlignment="1">
      <alignment horizontal="left" vertical="center" wrapText="1" indent="1"/>
    </xf>
    <xf numFmtId="9" fontId="2" fillId="8" borderId="8" xfId="2" applyFont="1" applyFill="1" applyBorder="1" applyAlignment="1">
      <alignment horizontal="center" vertical="center" wrapText="1"/>
    </xf>
    <xf numFmtId="9" fontId="0" fillId="8" borderId="10" xfId="2" applyFont="1" applyFill="1" applyBorder="1" applyAlignment="1">
      <alignment vertical="center" wrapText="1"/>
    </xf>
    <xf numFmtId="165" fontId="1" fillId="25" borderId="0" xfId="12" applyNumberFormat="1" applyFont="1" applyFill="1" applyBorder="1" applyAlignment="1">
      <alignment horizontal="left" vertical="center" wrapText="1" indent="1"/>
    </xf>
    <xf numFmtId="9" fontId="2" fillId="25" borderId="0" xfId="2" applyFont="1" applyFill="1" applyBorder="1" applyAlignment="1">
      <alignment horizontal="center" vertical="center" wrapText="1"/>
    </xf>
    <xf numFmtId="9" fontId="1" fillId="25" borderId="0" xfId="2" applyFont="1" applyFill="1" applyBorder="1" applyAlignment="1">
      <alignment vertical="center" wrapText="1"/>
    </xf>
    <xf numFmtId="165" fontId="1" fillId="25" borderId="0" xfId="11" applyNumberFormat="1" applyFont="1" applyFill="1" applyBorder="1" applyAlignment="1">
      <alignment horizontal="left" vertical="center" wrapText="1" indent="1"/>
    </xf>
    <xf numFmtId="165" fontId="1" fillId="25" borderId="0" xfId="1" applyFont="1" applyFill="1" applyBorder="1" applyAlignment="1">
      <alignment horizontal="left" vertical="center" wrapText="1" indent="1"/>
    </xf>
    <xf numFmtId="165" fontId="1" fillId="25" borderId="0" xfId="1" applyFont="1" applyFill="1" applyBorder="1" applyAlignment="1">
      <alignment vertical="center" wrapText="1"/>
    </xf>
    <xf numFmtId="165" fontId="2" fillId="25" borderId="5" xfId="1" applyFont="1" applyFill="1" applyBorder="1" applyAlignment="1">
      <alignment horizontal="right" vertical="center" wrapText="1"/>
    </xf>
    <xf numFmtId="165" fontId="2" fillId="25" borderId="0" xfId="1" applyFont="1" applyFill="1" applyBorder="1" applyAlignment="1">
      <alignment horizontal="right" vertical="center" wrapText="1"/>
    </xf>
    <xf numFmtId="165" fontId="1" fillId="25" borderId="0" xfId="7" applyNumberFormat="1" applyFont="1" applyFill="1" applyBorder="1" applyAlignment="1">
      <alignment horizontal="left" vertical="center" wrapText="1" indent="1"/>
    </xf>
    <xf numFmtId="10" fontId="1" fillId="25" borderId="6" xfId="2" applyNumberFormat="1" applyFont="1" applyFill="1" applyBorder="1" applyAlignment="1">
      <alignment vertical="center" wrapText="1"/>
    </xf>
    <xf numFmtId="10" fontId="1" fillId="25" borderId="7" xfId="2" applyNumberFormat="1" applyFont="1" applyFill="1" applyBorder="1" applyAlignment="1">
      <alignment vertical="center" wrapText="1"/>
    </xf>
    <xf numFmtId="165" fontId="1" fillId="25" borderId="0" xfId="6" applyNumberFormat="1" applyFont="1" applyFill="1" applyBorder="1" applyAlignment="1">
      <alignment horizontal="left" vertical="center" wrapText="1" indent="1"/>
    </xf>
    <xf numFmtId="165" fontId="2" fillId="26" borderId="0" xfId="1" applyFont="1" applyFill="1" applyBorder="1" applyAlignment="1">
      <alignment horizontal="left" vertical="center" wrapText="1" indent="1"/>
    </xf>
    <xf numFmtId="165" fontId="9" fillId="26" borderId="0" xfId="1" applyFont="1" applyFill="1" applyBorder="1" applyAlignment="1">
      <alignment horizontal="right" vertical="center" wrapText="1"/>
    </xf>
    <xf numFmtId="165" fontId="7" fillId="26" borderId="0" xfId="1" applyFont="1" applyFill="1" applyBorder="1" applyAlignment="1">
      <alignment vertical="center" wrapText="1"/>
    </xf>
    <xf numFmtId="165" fontId="8" fillId="26" borderId="0" xfId="1" applyFont="1" applyFill="1" applyBorder="1" applyAlignment="1">
      <alignment vertical="center" wrapText="1"/>
    </xf>
    <xf numFmtId="165" fontId="6" fillId="26" borderId="0" xfId="7" applyNumberFormat="1" applyFont="1" applyFill="1" applyBorder="1" applyAlignment="1">
      <alignment horizontal="left" vertical="center" wrapText="1" indent="1"/>
    </xf>
    <xf numFmtId="9" fontId="10" fillId="8" borderId="0" xfId="2" applyFont="1" applyFill="1" applyBorder="1" applyAlignment="1">
      <alignment horizontal="left" vertical="center" wrapText="1" indent="1"/>
    </xf>
    <xf numFmtId="165" fontId="0" fillId="27" borderId="0" xfId="1" applyFont="1" applyFill="1" applyBorder="1" applyAlignment="1">
      <alignment vertical="center" wrapText="1"/>
    </xf>
    <xf numFmtId="165" fontId="2" fillId="27" borderId="0" xfId="1" applyFont="1" applyFill="1" applyBorder="1" applyAlignment="1">
      <alignment horizontal="center" vertical="center" wrapText="1"/>
    </xf>
    <xf numFmtId="165" fontId="2" fillId="27" borderId="0" xfId="1" applyFont="1" applyFill="1" applyBorder="1" applyAlignment="1">
      <alignment vertical="center" wrapText="1"/>
    </xf>
    <xf numFmtId="167" fontId="0" fillId="27" borderId="0" xfId="1" applyNumberFormat="1" applyFont="1" applyFill="1" applyBorder="1" applyAlignment="1">
      <alignment vertical="center" wrapText="1"/>
    </xf>
    <xf numFmtId="0" fontId="0" fillId="31" borderId="0" xfId="0" applyFill="1"/>
    <xf numFmtId="165" fontId="6" fillId="27" borderId="0" xfId="1" applyFont="1" applyFill="1" applyBorder="1" applyAlignment="1">
      <alignment vertical="center" wrapText="1"/>
    </xf>
    <xf numFmtId="165" fontId="12" fillId="27" borderId="0" xfId="1" applyFont="1" applyFill="1" applyBorder="1" applyAlignment="1">
      <alignment vertical="center" wrapText="1"/>
    </xf>
    <xf numFmtId="165" fontId="0" fillId="6" borderId="6" xfId="1" applyFont="1" applyFill="1" applyBorder="1" applyAlignment="1" applyProtection="1">
      <alignment vertical="center" wrapText="1"/>
      <protection locked="0"/>
    </xf>
    <xf numFmtId="165" fontId="0" fillId="6" borderId="7" xfId="1" applyFont="1" applyFill="1" applyBorder="1" applyAlignment="1" applyProtection="1">
      <alignment vertical="center" wrapText="1"/>
      <protection locked="0"/>
    </xf>
    <xf numFmtId="165" fontId="2" fillId="6" borderId="5" xfId="1" applyFont="1" applyFill="1" applyBorder="1" applyAlignment="1" applyProtection="1">
      <alignment horizontal="right" vertical="center" wrapText="1"/>
      <protection locked="0"/>
    </xf>
    <xf numFmtId="165" fontId="2" fillId="4" borderId="0" xfId="1" applyFont="1" applyFill="1" applyBorder="1" applyAlignment="1" applyProtection="1">
      <alignment horizontal="right" vertical="center" wrapText="1"/>
      <protection locked="0"/>
    </xf>
    <xf numFmtId="10" fontId="0" fillId="6" borderId="6" xfId="2" applyNumberFormat="1" applyFont="1" applyFill="1" applyBorder="1" applyAlignment="1" applyProtection="1">
      <alignment vertical="center" wrapText="1"/>
      <protection locked="0"/>
    </xf>
    <xf numFmtId="10" fontId="0" fillId="6" borderId="7" xfId="2" applyNumberFormat="1" applyFont="1" applyFill="1" applyBorder="1" applyAlignment="1" applyProtection="1">
      <alignment vertical="center" wrapText="1"/>
      <protection locked="0"/>
    </xf>
    <xf numFmtId="165" fontId="0" fillId="4" borderId="7" xfId="1" applyFont="1" applyFill="1" applyBorder="1" applyAlignment="1" applyProtection="1">
      <alignment vertical="center" wrapText="1"/>
      <protection locked="0"/>
    </xf>
    <xf numFmtId="165" fontId="2" fillId="4" borderId="5" xfId="1" applyFont="1" applyFill="1" applyBorder="1" applyAlignment="1" applyProtection="1">
      <alignment horizontal="right" vertical="center" wrapText="1"/>
      <protection locked="0"/>
    </xf>
    <xf numFmtId="166" fontId="0" fillId="8" borderId="9" xfId="2" applyNumberFormat="1" applyFont="1" applyFill="1" applyBorder="1" applyAlignment="1" applyProtection="1">
      <alignment vertical="center" wrapText="1"/>
      <protection locked="0"/>
    </xf>
    <xf numFmtId="9" fontId="0" fillId="8" borderId="10" xfId="2" applyFont="1" applyFill="1" applyBorder="1" applyAlignment="1" applyProtection="1">
      <alignment vertical="center" wrapText="1"/>
      <protection locked="0"/>
    </xf>
    <xf numFmtId="9" fontId="2" fillId="8" borderId="8" xfId="2" applyFont="1" applyFill="1" applyBorder="1" applyAlignment="1" applyProtection="1">
      <alignment horizontal="center" vertical="center" wrapText="1"/>
      <protection locked="0"/>
    </xf>
    <xf numFmtId="10" fontId="0" fillId="8" borderId="9" xfId="2" applyNumberFormat="1" applyFont="1" applyFill="1" applyBorder="1" applyAlignment="1" applyProtection="1">
      <alignment vertical="center" wrapText="1"/>
      <protection locked="0"/>
    </xf>
    <xf numFmtId="9" fontId="0" fillId="8" borderId="9" xfId="2" applyFont="1" applyFill="1" applyBorder="1" applyAlignment="1" applyProtection="1">
      <alignment vertical="center" wrapText="1"/>
      <protection locked="0"/>
    </xf>
    <xf numFmtId="10" fontId="0" fillId="8" borderId="6" xfId="2" applyNumberFormat="1" applyFont="1" applyFill="1" applyBorder="1" applyAlignment="1" applyProtection="1">
      <alignment vertical="center" wrapText="1"/>
      <protection locked="0"/>
    </xf>
    <xf numFmtId="10" fontId="0" fillId="8" borderId="7" xfId="2" applyNumberFormat="1" applyFont="1" applyFill="1" applyBorder="1" applyAlignment="1" applyProtection="1">
      <alignment vertical="center" wrapText="1"/>
      <protection locked="0"/>
    </xf>
    <xf numFmtId="9" fontId="2" fillId="8" borderId="5" xfId="2" applyFont="1" applyFill="1" applyBorder="1" applyAlignment="1" applyProtection="1">
      <alignment horizontal="center" vertical="center" wrapText="1"/>
      <protection locked="0"/>
    </xf>
    <xf numFmtId="165" fontId="11" fillId="4" borderId="6" xfId="1" applyFont="1" applyFill="1" applyBorder="1" applyAlignment="1" applyProtection="1">
      <alignment vertical="center" wrapText="1"/>
      <protection locked="0"/>
    </xf>
    <xf numFmtId="165" fontId="0" fillId="23" borderId="0" xfId="1" applyFont="1" applyFill="1" applyBorder="1" applyAlignment="1" applyProtection="1">
      <alignment horizontal="left" vertical="center" wrapText="1" indent="1"/>
      <protection locked="0"/>
    </xf>
    <xf numFmtId="165" fontId="0" fillId="23" borderId="0" xfId="1" applyFont="1" applyFill="1" applyBorder="1" applyAlignment="1" applyProtection="1">
      <alignment vertical="center" wrapText="1"/>
      <protection locked="0"/>
    </xf>
    <xf numFmtId="166" fontId="3" fillId="23" borderId="0" xfId="3" applyNumberFormat="1" applyFill="1" applyBorder="1" applyAlignment="1" applyProtection="1">
      <alignment horizontal="center" vertical="center" wrapText="1"/>
      <protection locked="0"/>
    </xf>
    <xf numFmtId="165" fontId="0" fillId="19" borderId="0" xfId="1" applyFont="1" applyFill="1" applyBorder="1" applyAlignment="1" applyProtection="1">
      <alignment horizontal="left" vertical="center" wrapText="1" indent="1"/>
      <protection locked="0"/>
    </xf>
    <xf numFmtId="165" fontId="0" fillId="19" borderId="0" xfId="1" applyFont="1" applyFill="1" applyBorder="1" applyAlignment="1" applyProtection="1">
      <alignment vertical="center" wrapText="1"/>
      <protection locked="0"/>
    </xf>
    <xf numFmtId="165" fontId="6" fillId="29" borderId="11" xfId="1" applyFont="1" applyFill="1" applyBorder="1" applyAlignment="1">
      <alignment vertical="center" wrapText="1"/>
    </xf>
    <xf numFmtId="165" fontId="6" fillId="30" borderId="7" xfId="1" applyFont="1" applyFill="1" applyBorder="1" applyAlignment="1">
      <alignment vertical="center" wrapText="1"/>
    </xf>
    <xf numFmtId="9" fontId="15" fillId="30" borderId="5" xfId="2" applyFont="1" applyFill="1" applyBorder="1" applyAlignment="1">
      <alignment horizontal="center" vertical="center" wrapText="1"/>
    </xf>
    <xf numFmtId="164" fontId="6" fillId="30" borderId="5" xfId="1" applyNumberFormat="1" applyFont="1" applyFill="1" applyBorder="1" applyAlignment="1">
      <alignment vertical="center" wrapText="1"/>
    </xf>
    <xf numFmtId="164" fontId="6" fillId="30" borderId="7" xfId="1" applyNumberFormat="1" applyFont="1" applyFill="1" applyBorder="1" applyAlignment="1">
      <alignment vertical="center" wrapText="1"/>
    </xf>
    <xf numFmtId="165" fontId="6" fillId="30" borderId="5" xfId="1" applyFont="1" applyFill="1" applyBorder="1" applyAlignment="1">
      <alignment vertical="center" wrapText="1"/>
    </xf>
    <xf numFmtId="165" fontId="6" fillId="29" borderId="13" xfId="1" applyFont="1" applyFill="1" applyBorder="1" applyAlignment="1">
      <alignment vertical="center" wrapText="1"/>
    </xf>
    <xf numFmtId="164" fontId="16" fillId="30" borderId="7" xfId="1" applyNumberFormat="1" applyFont="1" applyFill="1" applyBorder="1" applyAlignment="1">
      <alignment vertical="center" wrapText="1"/>
    </xf>
    <xf numFmtId="165" fontId="6" fillId="21" borderId="5" xfId="1" applyFont="1" applyFill="1" applyBorder="1" applyAlignment="1">
      <alignment vertical="center" wrapText="1"/>
    </xf>
    <xf numFmtId="164" fontId="6" fillId="21" borderId="7" xfId="1" applyNumberFormat="1" applyFont="1" applyFill="1" applyBorder="1" applyAlignment="1">
      <alignment vertical="center" wrapText="1"/>
    </xf>
    <xf numFmtId="10" fontId="15" fillId="21" borderId="5" xfId="2" applyNumberFormat="1" applyFont="1" applyFill="1" applyBorder="1" applyAlignment="1">
      <alignment horizontal="center" vertical="center" wrapText="1"/>
    </xf>
    <xf numFmtId="165" fontId="10" fillId="6" borderId="0" xfId="1" applyFont="1" applyFill="1" applyBorder="1" applyAlignment="1">
      <alignment horizontal="left" vertical="center" wrapText="1" indent="1"/>
    </xf>
    <xf numFmtId="9" fontId="17" fillId="8" borderId="0" xfId="2" applyFont="1" applyFill="1" applyBorder="1" applyAlignment="1">
      <alignment horizontal="left" vertical="center" wrapText="1" indent="1"/>
    </xf>
    <xf numFmtId="165" fontId="10" fillId="4" borderId="0" xfId="1" applyFont="1" applyFill="1" applyBorder="1" applyAlignment="1">
      <alignment horizontal="left" vertical="center" wrapText="1" indent="1"/>
    </xf>
    <xf numFmtId="165" fontId="17" fillId="6" borderId="0" xfId="1" applyFont="1" applyFill="1" applyBorder="1" applyAlignment="1">
      <alignment horizontal="left" vertical="center" wrapText="1" indent="1"/>
    </xf>
    <xf numFmtId="165" fontId="17" fillId="4" borderId="0" xfId="1" applyFont="1" applyFill="1" applyBorder="1" applyAlignment="1">
      <alignment horizontal="left" vertical="center" wrapText="1" indent="1"/>
    </xf>
    <xf numFmtId="165" fontId="18" fillId="4" borderId="6" xfId="1" applyFont="1" applyFill="1" applyBorder="1" applyAlignment="1" applyProtection="1">
      <alignment vertical="center" wrapText="1"/>
      <protection locked="0"/>
    </xf>
    <xf numFmtId="165" fontId="18" fillId="4" borderId="7" xfId="1" applyFont="1" applyFill="1" applyBorder="1" applyAlignment="1" applyProtection="1">
      <alignment vertical="center" wrapText="1"/>
      <protection locked="0"/>
    </xf>
    <xf numFmtId="165" fontId="18" fillId="4" borderId="5" xfId="1" applyFont="1" applyFill="1" applyBorder="1" applyAlignment="1" applyProtection="1">
      <alignment horizontal="right" vertical="center" wrapText="1"/>
      <protection locked="0"/>
    </xf>
    <xf numFmtId="165" fontId="16" fillId="30" borderId="7" xfId="1" applyFont="1" applyFill="1" applyBorder="1" applyAlignment="1">
      <alignment vertical="center" wrapText="1"/>
    </xf>
    <xf numFmtId="164" fontId="6" fillId="33" borderId="7" xfId="1" applyNumberFormat="1" applyFont="1" applyFill="1" applyBorder="1" applyAlignment="1" applyProtection="1">
      <alignment vertical="center" wrapText="1"/>
      <protection locked="0"/>
    </xf>
    <xf numFmtId="165" fontId="4" fillId="34" borderId="16" xfId="1" applyFont="1" applyFill="1" applyBorder="1" applyAlignment="1">
      <alignment horizontal="center" vertical="center" wrapText="1"/>
    </xf>
    <xf numFmtId="0" fontId="20" fillId="35" borderId="0" xfId="0" applyFont="1" applyFill="1"/>
    <xf numFmtId="0" fontId="20" fillId="5" borderId="0" xfId="0" applyFont="1" applyFill="1"/>
    <xf numFmtId="0" fontId="0" fillId="35" borderId="0" xfId="0" applyFill="1"/>
    <xf numFmtId="0" fontId="20" fillId="5" borderId="10" xfId="0" applyFont="1" applyFill="1" applyBorder="1"/>
    <xf numFmtId="0" fontId="20" fillId="5" borderId="9" xfId="0" applyFont="1" applyFill="1" applyBorder="1"/>
    <xf numFmtId="0" fontId="20" fillId="5" borderId="8" xfId="0" applyFont="1" applyFill="1" applyBorder="1"/>
    <xf numFmtId="0" fontId="20" fillId="5" borderId="17" xfId="0" applyFont="1" applyFill="1" applyBorder="1"/>
    <xf numFmtId="0" fontId="20" fillId="5" borderId="18" xfId="0" applyFont="1" applyFill="1" applyBorder="1"/>
    <xf numFmtId="164" fontId="20" fillId="5" borderId="18" xfId="0" applyNumberFormat="1" applyFont="1" applyFill="1" applyBorder="1"/>
    <xf numFmtId="168" fontId="20" fillId="5" borderId="0" xfId="2" applyNumberFormat="1" applyFont="1" applyFill="1" applyBorder="1"/>
    <xf numFmtId="164" fontId="20" fillId="5" borderId="0" xfId="0" applyNumberFormat="1" applyFont="1" applyFill="1"/>
    <xf numFmtId="0" fontId="20" fillId="5" borderId="0" xfId="0" applyFont="1" applyFill="1" applyAlignment="1">
      <alignment vertical="center"/>
    </xf>
    <xf numFmtId="0" fontId="20" fillId="5" borderId="18" xfId="0" applyFont="1" applyFill="1" applyBorder="1" applyAlignment="1">
      <alignment vertical="center"/>
    </xf>
    <xf numFmtId="1" fontId="20" fillId="5" borderId="0" xfId="0" applyNumberFormat="1" applyFont="1" applyFill="1"/>
    <xf numFmtId="0" fontId="20" fillId="5" borderId="15" xfId="0" applyFont="1" applyFill="1" applyBorder="1"/>
    <xf numFmtId="0" fontId="20" fillId="5" borderId="19" xfId="0" applyFont="1" applyFill="1" applyBorder="1"/>
    <xf numFmtId="0" fontId="20" fillId="5" borderId="14" xfId="0" applyFont="1" applyFill="1" applyBorder="1"/>
    <xf numFmtId="9" fontId="20" fillId="5" borderId="0" xfId="0" applyNumberFormat="1" applyFont="1" applyFill="1"/>
    <xf numFmtId="9" fontId="20" fillId="5" borderId="18" xfId="0" applyNumberFormat="1" applyFont="1" applyFill="1" applyBorder="1"/>
    <xf numFmtId="164" fontId="20" fillId="5" borderId="9" xfId="0" applyNumberFormat="1" applyFont="1" applyFill="1" applyBorder="1"/>
    <xf numFmtId="164" fontId="20" fillId="5" borderId="17" xfId="0" applyNumberFormat="1" applyFont="1" applyFill="1" applyBorder="1"/>
    <xf numFmtId="10" fontId="20" fillId="5" borderId="0" xfId="2" applyNumberFormat="1" applyFont="1" applyFill="1" applyBorder="1"/>
    <xf numFmtId="164" fontId="20" fillId="5" borderId="19" xfId="0" applyNumberFormat="1" applyFont="1" applyFill="1" applyBorder="1"/>
    <xf numFmtId="169" fontId="20" fillId="5" borderId="0" xfId="0" applyNumberFormat="1" applyFont="1" applyFill="1"/>
    <xf numFmtId="170" fontId="20" fillId="5" borderId="0" xfId="0" applyNumberFormat="1" applyFont="1" applyFill="1"/>
    <xf numFmtId="169" fontId="20" fillId="5" borderId="11" xfId="0" applyNumberFormat="1" applyFont="1" applyFill="1" applyBorder="1" applyAlignment="1">
      <alignment horizontal="center" vertical="center"/>
    </xf>
    <xf numFmtId="171" fontId="20" fillId="5" borderId="11" xfId="0" applyNumberFormat="1" applyFont="1" applyFill="1" applyBorder="1" applyAlignment="1">
      <alignment horizontal="center" vertical="center"/>
    </xf>
    <xf numFmtId="164" fontId="20" fillId="5" borderId="11" xfId="0" applyNumberFormat="1" applyFont="1" applyFill="1" applyBorder="1" applyAlignment="1">
      <alignment horizontal="center" vertical="center"/>
    </xf>
    <xf numFmtId="10" fontId="20" fillId="5" borderId="11" xfId="0" applyNumberFormat="1" applyFont="1" applyFill="1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/>
    </xf>
    <xf numFmtId="169" fontId="20" fillId="5" borderId="0" xfId="0" applyNumberFormat="1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168" fontId="20" fillId="5" borderId="11" xfId="0" applyNumberFormat="1" applyFont="1" applyFill="1" applyBorder="1" applyAlignment="1">
      <alignment horizontal="center" vertical="center"/>
    </xf>
    <xf numFmtId="0" fontId="20" fillId="39" borderId="0" xfId="0" applyFont="1" applyFill="1"/>
    <xf numFmtId="0" fontId="13" fillId="28" borderId="22" xfId="0" applyFont="1" applyFill="1" applyBorder="1" applyAlignment="1">
      <alignment horizontal="center" vertical="center"/>
    </xf>
    <xf numFmtId="0" fontId="5" fillId="36" borderId="24" xfId="0" applyFont="1" applyFill="1" applyBorder="1"/>
    <xf numFmtId="0" fontId="20" fillId="42" borderId="0" xfId="0" applyFont="1" applyFill="1"/>
    <xf numFmtId="0" fontId="0" fillId="43" borderId="0" xfId="0" applyFill="1"/>
    <xf numFmtId="0" fontId="13" fillId="27" borderId="25" xfId="0" applyFont="1" applyFill="1" applyBorder="1" applyAlignment="1">
      <alignment horizontal="center" vertical="center" wrapText="1"/>
    </xf>
    <xf numFmtId="0" fontId="13" fillId="22" borderId="25" xfId="0" applyFont="1" applyFill="1" applyBorder="1" applyAlignment="1">
      <alignment horizontal="center" vertical="center" wrapText="1"/>
    </xf>
    <xf numFmtId="0" fontId="20" fillId="42" borderId="29" xfId="0" applyFont="1" applyFill="1" applyBorder="1"/>
    <xf numFmtId="0" fontId="21" fillId="28" borderId="0" xfId="0" applyFont="1" applyFill="1" applyAlignment="1">
      <alignment horizontal="center" vertical="center"/>
    </xf>
    <xf numFmtId="164" fontId="28" fillId="7" borderId="23" xfId="0" applyNumberFormat="1" applyFont="1" applyFill="1" applyBorder="1" applyAlignment="1">
      <alignment horizontal="center" vertical="center"/>
    </xf>
    <xf numFmtId="164" fontId="6" fillId="48" borderId="18" xfId="0" applyNumberFormat="1" applyFont="1" applyFill="1" applyBorder="1" applyAlignment="1" applyProtection="1">
      <alignment horizontal="center" vertical="center"/>
      <protection locked="0"/>
    </xf>
    <xf numFmtId="164" fontId="6" fillId="44" borderId="18" xfId="0" applyNumberFormat="1" applyFont="1" applyFill="1" applyBorder="1" applyAlignment="1" applyProtection="1">
      <alignment horizontal="center" vertical="center"/>
      <protection locked="0"/>
    </xf>
    <xf numFmtId="164" fontId="6" fillId="48" borderId="23" xfId="0" applyNumberFormat="1" applyFont="1" applyFill="1" applyBorder="1" applyAlignment="1" applyProtection="1">
      <alignment horizontal="center" vertical="center"/>
      <protection locked="0"/>
    </xf>
    <xf numFmtId="0" fontId="13" fillId="37" borderId="23" xfId="0" applyFont="1" applyFill="1" applyBorder="1" applyAlignment="1">
      <alignment horizontal="center" vertical="center" wrapText="1"/>
    </xf>
    <xf numFmtId="0" fontId="13" fillId="47" borderId="8" xfId="0" applyFont="1" applyFill="1" applyBorder="1" applyAlignment="1">
      <alignment horizontal="center" vertical="center"/>
    </xf>
    <xf numFmtId="0" fontId="13" fillId="46" borderId="23" xfId="0" applyFont="1" applyFill="1" applyBorder="1" applyAlignment="1">
      <alignment horizontal="center" vertical="center"/>
    </xf>
    <xf numFmtId="0" fontId="0" fillId="49" borderId="0" xfId="0" applyFill="1"/>
    <xf numFmtId="0" fontId="30" fillId="49" borderId="0" xfId="0" applyFont="1" applyFill="1" applyAlignment="1">
      <alignment horizontal="center" vertical="center"/>
    </xf>
    <xf numFmtId="0" fontId="31" fillId="49" borderId="0" xfId="0" applyFont="1" applyFill="1" applyAlignment="1">
      <alignment horizontal="center" vertical="center"/>
    </xf>
    <xf numFmtId="0" fontId="0" fillId="27" borderId="0" xfId="0" applyFill="1"/>
    <xf numFmtId="0" fontId="0" fillId="50" borderId="0" xfId="0" applyFill="1"/>
    <xf numFmtId="0" fontId="29" fillId="28" borderId="31" xfId="0" applyFont="1" applyFill="1" applyBorder="1" applyAlignment="1">
      <alignment vertical="center" wrapText="1"/>
    </xf>
    <xf numFmtId="0" fontId="0" fillId="52" borderId="0" xfId="0" applyFill="1"/>
    <xf numFmtId="10" fontId="7" fillId="38" borderId="0" xfId="2" applyNumberFormat="1" applyFont="1" applyFill="1" applyAlignment="1" applyProtection="1">
      <alignment horizontal="center" vertical="center"/>
    </xf>
    <xf numFmtId="164" fontId="7" fillId="38" borderId="0" xfId="2" applyNumberFormat="1" applyFont="1" applyFill="1" applyAlignment="1" applyProtection="1">
      <alignment horizontal="center" vertical="center"/>
    </xf>
    <xf numFmtId="164" fontId="7" fillId="0" borderId="0" xfId="2" applyNumberFormat="1" applyFont="1" applyFill="1" applyAlignment="1" applyProtection="1">
      <alignment horizontal="center" vertical="center"/>
      <protection locked="0"/>
    </xf>
    <xf numFmtId="164" fontId="7" fillId="0" borderId="0" xfId="0" applyNumberFormat="1" applyFont="1" applyProtection="1">
      <protection locked="0"/>
    </xf>
    <xf numFmtId="174" fontId="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protection locked="0"/>
    </xf>
    <xf numFmtId="164" fontId="7" fillId="38" borderId="0" xfId="2" applyNumberFormat="1" applyFont="1" applyFill="1" applyProtection="1"/>
    <xf numFmtId="0" fontId="7" fillId="0" borderId="0" xfId="0" applyFont="1" applyAlignment="1" applyProtection="1">
      <alignment horizontal="center" vertical="center"/>
      <protection locked="0"/>
    </xf>
    <xf numFmtId="164" fontId="6" fillId="21" borderId="23" xfId="0" applyNumberFormat="1" applyFont="1" applyFill="1" applyBorder="1" applyAlignment="1">
      <alignment vertical="center"/>
    </xf>
    <xf numFmtId="0" fontId="6" fillId="48" borderId="0" xfId="0" applyFont="1" applyFill="1" applyAlignment="1" applyProtection="1">
      <alignment horizontal="center" vertical="center"/>
      <protection locked="0"/>
    </xf>
    <xf numFmtId="164" fontId="6" fillId="39" borderId="23" xfId="0" applyNumberFormat="1" applyFont="1" applyFill="1" applyBorder="1" applyAlignment="1">
      <alignment vertical="center"/>
    </xf>
    <xf numFmtId="164" fontId="6" fillId="44" borderId="23" xfId="0" applyNumberFormat="1" applyFont="1" applyFill="1" applyBorder="1" applyAlignment="1" applyProtection="1">
      <alignment vertical="center"/>
      <protection locked="0"/>
    </xf>
    <xf numFmtId="0" fontId="6" fillId="44" borderId="0" xfId="0" applyFont="1" applyFill="1" applyAlignment="1" applyProtection="1">
      <alignment horizontal="center" vertical="center"/>
      <protection locked="0"/>
    </xf>
    <xf numFmtId="164" fontId="6" fillId="48" borderId="13" xfId="0" applyNumberFormat="1" applyFont="1" applyFill="1" applyBorder="1" applyAlignment="1" applyProtection="1">
      <alignment vertical="center"/>
      <protection locked="0"/>
    </xf>
    <xf numFmtId="0" fontId="13" fillId="37" borderId="22" xfId="0" applyFont="1" applyFill="1" applyBorder="1" applyAlignment="1">
      <alignment horizontal="center" vertical="center" wrapText="1"/>
    </xf>
    <xf numFmtId="0" fontId="25" fillId="47" borderId="8" xfId="0" applyFont="1" applyFill="1" applyBorder="1" applyAlignment="1">
      <alignment horizontal="center" vertical="center"/>
    </xf>
    <xf numFmtId="0" fontId="25" fillId="46" borderId="22" xfId="0" applyFont="1" applyFill="1" applyBorder="1" applyAlignment="1">
      <alignment horizontal="center" vertical="center"/>
    </xf>
    <xf numFmtId="0" fontId="29" fillId="46" borderId="0" xfId="0" applyFont="1" applyFill="1" applyAlignment="1">
      <alignment horizontal="center" vertical="center" wrapText="1"/>
    </xf>
    <xf numFmtId="0" fontId="20" fillId="45" borderId="29" xfId="0" applyFont="1" applyFill="1" applyBorder="1"/>
    <xf numFmtId="0" fontId="0" fillId="8" borderId="0" xfId="0" applyFill="1"/>
    <xf numFmtId="0" fontId="5" fillId="8" borderId="0" xfId="0" applyFont="1" applyFill="1"/>
    <xf numFmtId="0" fontId="20" fillId="8" borderId="0" xfId="0" applyFont="1" applyFill="1"/>
    <xf numFmtId="0" fontId="36" fillId="8" borderId="0" xfId="0" applyFont="1" applyFill="1" applyAlignment="1">
      <alignment vertical="center"/>
    </xf>
    <xf numFmtId="164" fontId="6" fillId="49" borderId="18" xfId="0" applyNumberFormat="1" applyFont="1" applyFill="1" applyBorder="1" applyAlignment="1" applyProtection="1">
      <alignment horizontal="center" vertical="center"/>
      <protection locked="0"/>
    </xf>
    <xf numFmtId="164" fontId="6" fillId="52" borderId="23" xfId="0" applyNumberFormat="1" applyFont="1" applyFill="1" applyBorder="1" applyAlignment="1" applyProtection="1">
      <alignment horizontal="center" vertical="center"/>
      <protection locked="0"/>
    </xf>
    <xf numFmtId="0" fontId="7" fillId="52" borderId="0" xfId="0" applyFont="1" applyFill="1" applyAlignment="1">
      <alignment horizontal="center" vertical="center"/>
    </xf>
    <xf numFmtId="0" fontId="7" fillId="52" borderId="28" xfId="0" applyFont="1" applyFill="1" applyBorder="1" applyAlignment="1">
      <alignment horizontal="center" vertical="center"/>
    </xf>
    <xf numFmtId="0" fontId="7" fillId="52" borderId="27" xfId="0" applyFont="1" applyFill="1" applyBorder="1" applyAlignment="1">
      <alignment horizontal="center" vertical="center"/>
    </xf>
    <xf numFmtId="0" fontId="20" fillId="52" borderId="0" xfId="0" applyFont="1" applyFill="1"/>
    <xf numFmtId="0" fontId="5" fillId="52" borderId="0" xfId="0" applyFont="1" applyFill="1"/>
    <xf numFmtId="0" fontId="21" fillId="27" borderId="0" xfId="0" applyFont="1" applyFill="1" applyAlignment="1">
      <alignment horizontal="center" vertical="center"/>
    </xf>
    <xf numFmtId="0" fontId="13" fillId="27" borderId="22" xfId="0" applyFont="1" applyFill="1" applyBorder="1" applyAlignment="1">
      <alignment horizontal="center" vertical="center"/>
    </xf>
    <xf numFmtId="0" fontId="21" fillId="27" borderId="9" xfId="0" applyFont="1" applyFill="1" applyBorder="1" applyAlignment="1">
      <alignment horizontal="center" vertical="center"/>
    </xf>
    <xf numFmtId="0" fontId="13" fillId="27" borderId="22" xfId="0" applyFont="1" applyFill="1" applyBorder="1" applyAlignment="1">
      <alignment horizontal="center" vertical="center" wrapText="1"/>
    </xf>
    <xf numFmtId="0" fontId="29" fillId="37" borderId="25" xfId="0" applyFont="1" applyFill="1" applyBorder="1" applyAlignment="1">
      <alignment horizontal="center" vertical="center" wrapText="1"/>
    </xf>
    <xf numFmtId="0" fontId="13" fillId="37" borderId="26" xfId="0" applyFont="1" applyFill="1" applyBorder="1" applyAlignment="1">
      <alignment horizontal="center" vertical="center" wrapText="1"/>
    </xf>
    <xf numFmtId="0" fontId="13" fillId="37" borderId="25" xfId="0" applyFont="1" applyFill="1" applyBorder="1" applyAlignment="1">
      <alignment horizontal="center" vertical="center" wrapText="1"/>
    </xf>
    <xf numFmtId="0" fontId="0" fillId="50" borderId="0" xfId="0" applyFill="1" applyProtection="1">
      <protection locked="0"/>
    </xf>
    <xf numFmtId="0" fontId="39" fillId="8" borderId="0" xfId="0" applyFont="1" applyFill="1" applyProtection="1">
      <protection locked="0"/>
    </xf>
    <xf numFmtId="0" fontId="5" fillId="27" borderId="24" xfId="0" applyFont="1" applyFill="1" applyBorder="1"/>
    <xf numFmtId="0" fontId="32" fillId="4" borderId="31" xfId="0" applyFont="1" applyFill="1" applyBorder="1" applyAlignment="1">
      <alignment horizontal="center" vertical="center"/>
    </xf>
    <xf numFmtId="164" fontId="28" fillId="33" borderId="23" xfId="0" applyNumberFormat="1" applyFont="1" applyFill="1" applyBorder="1" applyAlignment="1">
      <alignment horizontal="center" vertical="center"/>
    </xf>
    <xf numFmtId="2" fontId="32" fillId="4" borderId="31" xfId="0" applyNumberFormat="1" applyFont="1" applyFill="1" applyBorder="1" applyAlignment="1">
      <alignment horizontal="center" vertical="center"/>
    </xf>
    <xf numFmtId="164" fontId="32" fillId="4" borderId="31" xfId="0" applyNumberFormat="1" applyFont="1" applyFill="1" applyBorder="1" applyAlignment="1">
      <alignment vertical="center"/>
    </xf>
    <xf numFmtId="164" fontId="32" fillId="4" borderId="31" xfId="0" applyNumberFormat="1" applyFont="1" applyFill="1" applyBorder="1" applyAlignment="1">
      <alignment horizontal="center" vertical="center"/>
    </xf>
    <xf numFmtId="0" fontId="25" fillId="25" borderId="0" xfId="0" applyFont="1" applyFill="1" applyAlignment="1">
      <alignment horizontal="center" vertical="center"/>
    </xf>
    <xf numFmtId="175" fontId="21" fillId="25" borderId="0" xfId="0" applyNumberFormat="1" applyFont="1" applyFill="1" applyAlignment="1">
      <alignment horizontal="center" vertical="center"/>
    </xf>
    <xf numFmtId="164" fontId="28" fillId="5" borderId="23" xfId="0" applyNumberFormat="1" applyFont="1" applyFill="1" applyBorder="1" applyAlignment="1">
      <alignment horizontal="center" vertical="center"/>
    </xf>
    <xf numFmtId="0" fontId="20" fillId="27" borderId="0" xfId="0" applyFont="1" applyFill="1"/>
    <xf numFmtId="173" fontId="28" fillId="31" borderId="41" xfId="0" applyNumberFormat="1" applyFont="1" applyFill="1" applyBorder="1" applyAlignment="1" applyProtection="1">
      <alignment horizontal="center" vertical="center"/>
      <protection locked="0"/>
    </xf>
    <xf numFmtId="164" fontId="13" fillId="31" borderId="41" xfId="0" applyNumberFormat="1" applyFont="1" applyFill="1" applyBorder="1" applyAlignment="1">
      <alignment vertical="center"/>
    </xf>
    <xf numFmtId="164" fontId="13" fillId="31" borderId="41" xfId="0" applyNumberFormat="1" applyFont="1" applyFill="1" applyBorder="1" applyAlignment="1">
      <alignment horizontal="center" vertical="center"/>
    </xf>
    <xf numFmtId="164" fontId="13" fillId="31" borderId="41" xfId="0" applyNumberFormat="1" applyFont="1" applyFill="1" applyBorder="1" applyAlignment="1" applyProtection="1">
      <alignment vertical="center"/>
      <protection locked="0"/>
    </xf>
    <xf numFmtId="49" fontId="6" fillId="31" borderId="42" xfId="0" applyNumberFormat="1" applyFont="1" applyFill="1" applyBorder="1" applyAlignment="1" applyProtection="1">
      <alignment horizontal="center" vertical="center" wrapText="1"/>
      <protection locked="0"/>
    </xf>
    <xf numFmtId="0" fontId="7" fillId="31" borderId="43" xfId="0" applyFont="1" applyFill="1" applyBorder="1" applyAlignment="1" applyProtection="1">
      <alignment horizontal="center" vertical="center"/>
      <protection locked="0"/>
    </xf>
    <xf numFmtId="0" fontId="7" fillId="31" borderId="44" xfId="0" applyFont="1" applyFill="1" applyBorder="1" applyAlignment="1" applyProtection="1">
      <alignment horizontal="center" vertical="center"/>
      <protection locked="0"/>
    </xf>
    <xf numFmtId="164" fontId="13" fillId="25" borderId="41" xfId="0" applyNumberFormat="1" applyFont="1" applyFill="1" applyBorder="1" applyAlignment="1">
      <alignment horizontal="center" vertical="center"/>
    </xf>
    <xf numFmtId="10" fontId="13" fillId="25" borderId="41" xfId="2" applyNumberFormat="1" applyFont="1" applyFill="1" applyBorder="1" applyAlignment="1" applyProtection="1">
      <alignment horizontal="center" vertical="center"/>
    </xf>
    <xf numFmtId="164" fontId="20" fillId="52" borderId="0" xfId="0" applyNumberFormat="1" applyFont="1" applyFill="1"/>
    <xf numFmtId="164" fontId="20" fillId="35" borderId="0" xfId="0" applyNumberFormat="1" applyFont="1" applyFill="1"/>
    <xf numFmtId="164" fontId="13" fillId="31" borderId="41" xfId="0" applyNumberFormat="1" applyFont="1" applyFill="1" applyBorder="1" applyAlignment="1" applyProtection="1">
      <alignment horizontal="center" vertical="center"/>
      <protection locked="0"/>
    </xf>
    <xf numFmtId="49" fontId="19" fillId="52" borderId="45" xfId="0" applyNumberFormat="1" applyFont="1" applyFill="1" applyBorder="1" applyAlignment="1" applyProtection="1">
      <alignment horizontal="center" vertical="center" wrapText="1"/>
      <protection locked="0"/>
    </xf>
    <xf numFmtId="0" fontId="7" fillId="52" borderId="45" xfId="0" applyFont="1" applyFill="1" applyBorder="1" applyAlignment="1" applyProtection="1">
      <alignment horizontal="center" vertical="center"/>
      <protection locked="0"/>
    </xf>
    <xf numFmtId="164" fontId="28" fillId="21" borderId="45" xfId="0" applyNumberFormat="1" applyFont="1" applyFill="1" applyBorder="1" applyAlignment="1">
      <alignment vertical="center"/>
    </xf>
    <xf numFmtId="164" fontId="28" fillId="52" borderId="45" xfId="0" applyNumberFormat="1" applyFont="1" applyFill="1" applyBorder="1" applyAlignment="1" applyProtection="1">
      <alignment vertical="center"/>
      <protection locked="0"/>
    </xf>
    <xf numFmtId="164" fontId="28" fillId="7" borderId="45" xfId="0" applyNumberFormat="1" applyFont="1" applyFill="1" applyBorder="1" applyAlignment="1">
      <alignment vertical="center"/>
    </xf>
    <xf numFmtId="9" fontId="28" fillId="7" borderId="45" xfId="2" applyFont="1" applyFill="1" applyBorder="1" applyAlignment="1" applyProtection="1">
      <alignment horizontal="center" vertical="center"/>
    </xf>
    <xf numFmtId="164" fontId="28" fillId="52" borderId="45" xfId="0" applyNumberFormat="1" applyFont="1" applyFill="1" applyBorder="1" applyAlignment="1" applyProtection="1">
      <alignment horizontal="center" vertical="center"/>
      <protection locked="0"/>
    </xf>
    <xf numFmtId="173" fontId="28" fillId="52" borderId="45" xfId="0" applyNumberFormat="1" applyFont="1" applyFill="1" applyBorder="1" applyAlignment="1" applyProtection="1">
      <alignment horizontal="center" vertical="center"/>
      <protection locked="0"/>
    </xf>
    <xf numFmtId="49" fontId="19" fillId="52" borderId="46" xfId="0" applyNumberFormat="1" applyFont="1" applyFill="1" applyBorder="1" applyAlignment="1" applyProtection="1">
      <alignment horizontal="center" vertical="center" wrapText="1"/>
      <protection locked="0"/>
    </xf>
    <xf numFmtId="0" fontId="7" fillId="52" borderId="46" xfId="0" applyFont="1" applyFill="1" applyBorder="1" applyAlignment="1" applyProtection="1">
      <alignment horizontal="center" vertical="center"/>
      <protection locked="0"/>
    </xf>
    <xf numFmtId="164" fontId="28" fillId="21" borderId="46" xfId="0" applyNumberFormat="1" applyFont="1" applyFill="1" applyBorder="1" applyAlignment="1">
      <alignment vertical="center"/>
    </xf>
    <xf numFmtId="164" fontId="28" fillId="52" borderId="46" xfId="0" applyNumberFormat="1" applyFont="1" applyFill="1" applyBorder="1" applyAlignment="1" applyProtection="1">
      <alignment vertical="center"/>
      <protection locked="0"/>
    </xf>
    <xf numFmtId="164" fontId="28" fillId="7" borderId="46" xfId="0" applyNumberFormat="1" applyFont="1" applyFill="1" applyBorder="1" applyAlignment="1">
      <alignment vertical="center"/>
    </xf>
    <xf numFmtId="9" fontId="28" fillId="7" borderId="46" xfId="2" applyFont="1" applyFill="1" applyBorder="1" applyAlignment="1" applyProtection="1">
      <alignment horizontal="center" vertical="center"/>
    </xf>
    <xf numFmtId="164" fontId="28" fillId="52" borderId="46" xfId="0" applyNumberFormat="1" applyFont="1" applyFill="1" applyBorder="1" applyAlignment="1" applyProtection="1">
      <alignment horizontal="center" vertical="center"/>
      <protection locked="0"/>
    </xf>
    <xf numFmtId="173" fontId="28" fillId="52" borderId="46" xfId="0" applyNumberFormat="1" applyFont="1" applyFill="1" applyBorder="1" applyAlignment="1" applyProtection="1">
      <alignment horizontal="center" vertical="center"/>
      <protection locked="0"/>
    </xf>
    <xf numFmtId="49" fontId="19" fillId="49" borderId="40" xfId="0" applyNumberFormat="1" applyFont="1" applyFill="1" applyBorder="1" applyAlignment="1" applyProtection="1">
      <alignment horizontal="center" vertical="center" wrapText="1"/>
      <protection locked="0"/>
    </xf>
    <xf numFmtId="0" fontId="7" fillId="49" borderId="40" xfId="0" applyFont="1" applyFill="1" applyBorder="1" applyAlignment="1" applyProtection="1">
      <alignment horizontal="center" vertical="center"/>
      <protection locked="0"/>
    </xf>
    <xf numFmtId="164" fontId="28" fillId="49" borderId="40" xfId="0" applyNumberFormat="1" applyFont="1" applyFill="1" applyBorder="1" applyAlignment="1" applyProtection="1">
      <alignment vertical="center"/>
      <protection locked="0"/>
    </xf>
    <xf numFmtId="164" fontId="28" fillId="49" borderId="40" xfId="0" applyNumberFormat="1" applyFont="1" applyFill="1" applyBorder="1" applyAlignment="1" applyProtection="1">
      <alignment horizontal="center" vertical="center"/>
      <protection locked="0"/>
    </xf>
    <xf numFmtId="173" fontId="28" fillId="49" borderId="40" xfId="0" applyNumberFormat="1" applyFont="1" applyFill="1" applyBorder="1" applyAlignment="1" applyProtection="1">
      <alignment horizontal="center" vertical="center"/>
      <protection locked="0"/>
    </xf>
    <xf numFmtId="49" fontId="19" fillId="49" borderId="45" xfId="0" applyNumberFormat="1" applyFont="1" applyFill="1" applyBorder="1" applyAlignment="1" applyProtection="1">
      <alignment horizontal="center" vertical="center" wrapText="1"/>
      <protection locked="0"/>
    </xf>
    <xf numFmtId="0" fontId="7" fillId="49" borderId="45" xfId="0" applyFont="1" applyFill="1" applyBorder="1" applyAlignment="1" applyProtection="1">
      <alignment horizontal="center" vertical="center"/>
      <protection locked="0"/>
    </xf>
    <xf numFmtId="164" fontId="28" fillId="49" borderId="45" xfId="0" applyNumberFormat="1" applyFont="1" applyFill="1" applyBorder="1" applyAlignment="1" applyProtection="1">
      <alignment vertical="center"/>
      <protection locked="0"/>
    </xf>
    <xf numFmtId="164" fontId="28" fillId="49" borderId="45" xfId="0" applyNumberFormat="1" applyFont="1" applyFill="1" applyBorder="1" applyAlignment="1" applyProtection="1">
      <alignment horizontal="center" vertical="center"/>
      <protection locked="0"/>
    </xf>
    <xf numFmtId="173" fontId="28" fillId="49" borderId="45" xfId="0" applyNumberFormat="1" applyFont="1" applyFill="1" applyBorder="1" applyAlignment="1" applyProtection="1">
      <alignment horizontal="center" vertical="center"/>
      <protection locked="0"/>
    </xf>
    <xf numFmtId="164" fontId="28" fillId="54" borderId="40" xfId="0" applyNumberFormat="1" applyFont="1" applyFill="1" applyBorder="1" applyAlignment="1">
      <alignment vertical="center"/>
    </xf>
    <xf numFmtId="164" fontId="28" fillId="54" borderId="45" xfId="0" applyNumberFormat="1" applyFont="1" applyFill="1" applyBorder="1" applyAlignment="1">
      <alignment vertical="center"/>
    </xf>
    <xf numFmtId="164" fontId="28" fillId="52" borderId="40" xfId="0" applyNumberFormat="1" applyFont="1" applyFill="1" applyBorder="1" applyAlignment="1">
      <alignment vertical="center"/>
    </xf>
    <xf numFmtId="9" fontId="28" fillId="52" borderId="40" xfId="2" applyFont="1" applyFill="1" applyBorder="1" applyAlignment="1" applyProtection="1">
      <alignment horizontal="center" vertical="center"/>
    </xf>
    <xf numFmtId="164" fontId="28" fillId="52" borderId="45" xfId="0" applyNumberFormat="1" applyFont="1" applyFill="1" applyBorder="1" applyAlignment="1">
      <alignment vertical="center"/>
    </xf>
    <xf numFmtId="9" fontId="28" fillId="52" borderId="45" xfId="2" applyFont="1" applyFill="1" applyBorder="1" applyAlignment="1" applyProtection="1">
      <alignment horizontal="center" vertical="center"/>
    </xf>
    <xf numFmtId="164" fontId="28" fillId="33" borderId="40" xfId="0" applyNumberFormat="1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64" fontId="28" fillId="55" borderId="23" xfId="0" applyNumberFormat="1" applyFont="1" applyFill="1" applyBorder="1" applyAlignment="1">
      <alignment horizontal="center" vertical="center"/>
    </xf>
    <xf numFmtId="164" fontId="6" fillId="52" borderId="23" xfId="2" applyNumberFormat="1" applyFont="1" applyFill="1" applyBorder="1" applyAlignment="1" applyProtection="1">
      <alignment horizontal="center" vertical="center"/>
      <protection locked="0"/>
    </xf>
    <xf numFmtId="164" fontId="6" fillId="49" borderId="23" xfId="2" applyNumberFormat="1" applyFont="1" applyFill="1" applyBorder="1" applyAlignment="1" applyProtection="1">
      <alignment horizontal="center" vertical="center"/>
      <protection locked="0"/>
    </xf>
    <xf numFmtId="0" fontId="20" fillId="8" borderId="27" xfId="0" applyFont="1" applyFill="1" applyBorder="1"/>
    <xf numFmtId="165" fontId="0" fillId="4" borderId="0" xfId="1" applyFont="1" applyFill="1" applyBorder="1" applyAlignment="1" applyProtection="1">
      <alignment vertical="center" wrapText="1"/>
    </xf>
    <xf numFmtId="165" fontId="2" fillId="4" borderId="0" xfId="1" applyFont="1" applyFill="1" applyBorder="1" applyAlignment="1" applyProtection="1">
      <alignment horizontal="right" vertical="center" wrapText="1"/>
    </xf>
    <xf numFmtId="165" fontId="6" fillId="2" borderId="2" xfId="1" applyFont="1" applyFill="1" applyBorder="1" applyAlignment="1" applyProtection="1">
      <alignment vertical="center" wrapText="1"/>
      <protection locked="0"/>
    </xf>
    <xf numFmtId="165" fontId="6" fillId="2" borderId="3" xfId="1" applyFont="1" applyFill="1" applyBorder="1" applyAlignment="1" applyProtection="1">
      <alignment vertical="center" wrapText="1"/>
      <protection locked="0"/>
    </xf>
    <xf numFmtId="9" fontId="10" fillId="2" borderId="1" xfId="2" applyFont="1" applyFill="1" applyBorder="1" applyAlignment="1" applyProtection="1">
      <alignment horizontal="center" vertical="center" wrapText="1"/>
      <protection locked="0"/>
    </xf>
    <xf numFmtId="166" fontId="0" fillId="8" borderId="6" xfId="2" applyNumberFormat="1" applyFont="1" applyFill="1" applyBorder="1" applyAlignment="1" applyProtection="1">
      <alignment vertical="center" wrapText="1"/>
      <protection locked="0"/>
    </xf>
    <xf numFmtId="9" fontId="0" fillId="8" borderId="7" xfId="2" applyFont="1" applyFill="1" applyBorder="1" applyAlignment="1" applyProtection="1">
      <alignment vertical="center" wrapText="1"/>
      <protection locked="0"/>
    </xf>
    <xf numFmtId="9" fontId="0" fillId="8" borderId="6" xfId="2" applyFont="1" applyFill="1" applyBorder="1" applyAlignment="1" applyProtection="1">
      <alignment vertical="center" wrapText="1"/>
      <protection locked="0"/>
    </xf>
    <xf numFmtId="9" fontId="0" fillId="21" borderId="6" xfId="2" applyFont="1" applyFill="1" applyBorder="1" applyAlignment="1" applyProtection="1">
      <alignment vertical="center" wrapText="1"/>
      <protection locked="0"/>
    </xf>
    <xf numFmtId="9" fontId="0" fillId="21" borderId="7" xfId="2" applyFont="1" applyFill="1" applyBorder="1" applyAlignment="1" applyProtection="1">
      <alignment vertical="center" wrapText="1"/>
      <protection locked="0"/>
    </xf>
    <xf numFmtId="9" fontId="2" fillId="21" borderId="5" xfId="2" applyFont="1" applyFill="1" applyBorder="1" applyAlignment="1" applyProtection="1">
      <alignment horizontal="center" vertical="center" wrapText="1"/>
      <protection locked="0"/>
    </xf>
    <xf numFmtId="10" fontId="0" fillId="4" borderId="0" xfId="2" applyNumberFormat="1" applyFont="1" applyFill="1" applyBorder="1" applyAlignment="1" applyProtection="1">
      <alignment vertical="center" wrapText="1"/>
      <protection locked="0"/>
    </xf>
    <xf numFmtId="10" fontId="0" fillId="6" borderId="0" xfId="2" applyNumberFormat="1" applyFont="1" applyFill="1" applyBorder="1" applyAlignment="1" applyProtection="1">
      <alignment vertical="center" wrapText="1"/>
      <protection locked="0"/>
    </xf>
    <xf numFmtId="165" fontId="0" fillId="31" borderId="0" xfId="1" applyFont="1" applyFill="1" applyBorder="1" applyAlignment="1">
      <alignment vertical="center" wrapText="1"/>
    </xf>
    <xf numFmtId="10" fontId="0" fillId="31" borderId="0" xfId="2" applyNumberFormat="1" applyFont="1" applyFill="1" applyBorder="1" applyAlignment="1">
      <alignment vertical="center" wrapText="1"/>
    </xf>
    <xf numFmtId="165" fontId="2" fillId="31" borderId="0" xfId="1" applyFont="1" applyFill="1" applyBorder="1" applyAlignment="1">
      <alignment horizontal="center" vertical="center" wrapText="1"/>
    </xf>
    <xf numFmtId="165" fontId="2" fillId="31" borderId="0" xfId="1" applyFont="1" applyFill="1" applyBorder="1" applyAlignment="1">
      <alignment vertical="center" wrapText="1"/>
    </xf>
    <xf numFmtId="167" fontId="0" fillId="31" borderId="0" xfId="1" applyNumberFormat="1" applyFont="1" applyFill="1" applyBorder="1" applyAlignment="1">
      <alignment vertical="center" wrapText="1"/>
    </xf>
    <xf numFmtId="165" fontId="7" fillId="6" borderId="0" xfId="1" applyFont="1" applyFill="1" applyBorder="1" applyAlignment="1" applyProtection="1">
      <alignment vertical="center" wrapText="1"/>
    </xf>
    <xf numFmtId="165" fontId="8" fillId="6" borderId="0" xfId="1" applyFont="1" applyFill="1" applyBorder="1" applyAlignment="1" applyProtection="1">
      <alignment vertical="center" wrapText="1"/>
    </xf>
    <xf numFmtId="165" fontId="9" fillId="6" borderId="0" xfId="1" applyFont="1" applyFill="1" applyBorder="1" applyAlignment="1" applyProtection="1">
      <alignment horizontal="right" vertical="center" wrapText="1"/>
    </xf>
    <xf numFmtId="165" fontId="6" fillId="5" borderId="11" xfId="1" applyFont="1" applyFill="1" applyBorder="1" applyAlignment="1">
      <alignment vertical="center" wrapText="1"/>
    </xf>
    <xf numFmtId="171" fontId="27" fillId="5" borderId="5" xfId="2" applyNumberFormat="1" applyFont="1" applyFill="1" applyBorder="1" applyAlignment="1">
      <alignment horizontal="center" vertical="center" wrapText="1"/>
    </xf>
    <xf numFmtId="164" fontId="7" fillId="5" borderId="7" xfId="1" applyNumberFormat="1" applyFont="1" applyFill="1" applyBorder="1" applyAlignment="1">
      <alignment vertical="center" wrapText="1"/>
    </xf>
    <xf numFmtId="165" fontId="6" fillId="5" borderId="13" xfId="1" applyFont="1" applyFill="1" applyBorder="1" applyAlignment="1">
      <alignment vertical="center" wrapText="1"/>
    </xf>
    <xf numFmtId="164" fontId="0" fillId="31" borderId="0" xfId="0" applyNumberFormat="1" applyFill="1"/>
    <xf numFmtId="164" fontId="16" fillId="21" borderId="7" xfId="1" applyNumberFormat="1" applyFont="1" applyFill="1" applyBorder="1" applyAlignment="1">
      <alignment vertical="center" wrapText="1"/>
    </xf>
    <xf numFmtId="9" fontId="16" fillId="30" borderId="5" xfId="2" applyFont="1" applyFill="1" applyBorder="1" applyAlignment="1">
      <alignment horizontal="center" vertical="center" wrapText="1"/>
    </xf>
    <xf numFmtId="10" fontId="16" fillId="21" borderId="5" xfId="2" applyNumberFormat="1" applyFont="1" applyFill="1" applyBorder="1" applyAlignment="1">
      <alignment horizontal="center" vertical="center" wrapText="1"/>
    </xf>
    <xf numFmtId="0" fontId="28" fillId="21" borderId="45" xfId="0" applyFont="1" applyFill="1" applyBorder="1" applyAlignment="1">
      <alignment vertical="center"/>
    </xf>
    <xf numFmtId="0" fontId="17" fillId="0" borderId="0" xfId="0" applyFont="1" applyAlignment="1" applyProtection="1">
      <alignment horizontal="center" vertical="center"/>
      <protection locked="0"/>
    </xf>
    <xf numFmtId="10" fontId="27" fillId="5" borderId="14" xfId="2" applyNumberFormat="1" applyFont="1" applyFill="1" applyBorder="1" applyAlignment="1">
      <alignment horizontal="center" vertical="center" wrapText="1"/>
    </xf>
    <xf numFmtId="164" fontId="7" fillId="5" borderId="15" xfId="1" applyNumberFormat="1" applyFont="1" applyFill="1" applyBorder="1" applyAlignment="1">
      <alignment vertical="center" wrapText="1"/>
    </xf>
    <xf numFmtId="165" fontId="25" fillId="32" borderId="50" xfId="1" applyFont="1" applyFill="1" applyBorder="1" applyAlignment="1">
      <alignment horizontal="center" vertical="center" wrapText="1"/>
    </xf>
    <xf numFmtId="165" fontId="25" fillId="32" borderId="51" xfId="1" applyFont="1" applyFill="1" applyBorder="1" applyAlignment="1">
      <alignment horizontal="center" vertical="center" wrapText="1"/>
    </xf>
    <xf numFmtId="164" fontId="7" fillId="30" borderId="7" xfId="1" applyNumberFormat="1" applyFont="1" applyFill="1" applyBorder="1" applyAlignment="1">
      <alignment vertical="center" wrapText="1"/>
    </xf>
    <xf numFmtId="10" fontId="0" fillId="8" borderId="6" xfId="2" applyNumberFormat="1" applyFont="1" applyFill="1" applyBorder="1" applyAlignment="1" applyProtection="1">
      <alignment vertical="center" wrapText="1"/>
    </xf>
    <xf numFmtId="176" fontId="0" fillId="0" borderId="0" xfId="0" applyNumberFormat="1"/>
    <xf numFmtId="0" fontId="6" fillId="0" borderId="0" xfId="0" applyFont="1"/>
    <xf numFmtId="0" fontId="4" fillId="0" borderId="0" xfId="0" applyFont="1"/>
    <xf numFmtId="164" fontId="4" fillId="46" borderId="13" xfId="0" applyNumberFormat="1" applyFont="1" applyFill="1" applyBorder="1" applyAlignment="1">
      <alignment horizontal="center" vertical="center"/>
    </xf>
    <xf numFmtId="164" fontId="4" fillId="46" borderId="22" xfId="0" applyNumberFormat="1" applyFont="1" applyFill="1" applyBorder="1" applyAlignment="1">
      <alignment horizontal="center" vertical="center"/>
    </xf>
    <xf numFmtId="165" fontId="28" fillId="44" borderId="1" xfId="1" applyFont="1" applyFill="1" applyBorder="1" applyAlignment="1">
      <alignment horizontal="center" vertical="center" wrapText="1"/>
    </xf>
    <xf numFmtId="0" fontId="0" fillId="5" borderId="40" xfId="1" applyNumberFormat="1" applyFont="1" applyFill="1" applyBorder="1" applyAlignment="1" applyProtection="1">
      <alignment horizontal="center" vertical="center" wrapText="1"/>
      <protection locked="0"/>
    </xf>
    <xf numFmtId="164" fontId="19" fillId="52" borderId="23" xfId="0" applyNumberFormat="1" applyFont="1" applyFill="1" applyBorder="1" applyAlignment="1" applyProtection="1">
      <alignment horizontal="center" vertical="center" wrapText="1"/>
      <protection locked="0"/>
    </xf>
    <xf numFmtId="164" fontId="19" fillId="49" borderId="18" xfId="0" applyNumberFormat="1" applyFont="1" applyFill="1" applyBorder="1" applyAlignment="1" applyProtection="1">
      <alignment horizontal="center" vertical="center" wrapText="1"/>
      <protection locked="0"/>
    </xf>
    <xf numFmtId="0" fontId="13" fillId="47" borderId="22" xfId="0" applyFont="1" applyFill="1" applyBorder="1" applyAlignment="1">
      <alignment horizontal="center" vertical="center"/>
    </xf>
    <xf numFmtId="177" fontId="6" fillId="52" borderId="23" xfId="0" applyNumberFormat="1" applyFont="1" applyFill="1" applyBorder="1" applyAlignment="1" applyProtection="1">
      <alignment horizontal="center" vertical="center"/>
      <protection locked="0"/>
    </xf>
    <xf numFmtId="177" fontId="6" fillId="49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5" fillId="59" borderId="0" xfId="0" applyFont="1" applyFill="1" applyAlignment="1">
      <alignment horizontal="center" vertical="center"/>
    </xf>
    <xf numFmtId="0" fontId="5" fillId="59" borderId="0" xfId="0" applyFont="1" applyFill="1" applyAlignment="1">
      <alignment wrapText="1"/>
    </xf>
    <xf numFmtId="0" fontId="0" fillId="59" borderId="0" xfId="0" applyFill="1" applyAlignment="1">
      <alignment wrapText="1"/>
    </xf>
    <xf numFmtId="0" fontId="0" fillId="59" borderId="0" xfId="0" applyFill="1" applyAlignment="1">
      <alignment horizontal="center" vertical="center"/>
    </xf>
    <xf numFmtId="176" fontId="0" fillId="59" borderId="0" xfId="0" applyNumberFormat="1" applyFill="1" applyAlignment="1">
      <alignment vertical="center"/>
    </xf>
    <xf numFmtId="0" fontId="5" fillId="59" borderId="0" xfId="0" applyFont="1" applyFill="1"/>
    <xf numFmtId="176" fontId="5" fillId="59" borderId="0" xfId="0" applyNumberFormat="1" applyFont="1" applyFill="1"/>
    <xf numFmtId="176" fontId="4" fillId="59" borderId="0" xfId="0" applyNumberFormat="1" applyFont="1" applyFill="1"/>
    <xf numFmtId="0" fontId="5" fillId="57" borderId="53" xfId="0" applyFont="1" applyFill="1" applyBorder="1" applyAlignment="1">
      <alignment horizontal="center" vertical="center"/>
    </xf>
    <xf numFmtId="0" fontId="45" fillId="44" borderId="53" xfId="0" applyFont="1" applyFill="1" applyBorder="1" applyAlignment="1">
      <alignment horizontal="justify" vertical="center" wrapText="1"/>
    </xf>
    <xf numFmtId="0" fontId="0" fillId="44" borderId="53" xfId="0" applyFill="1" applyBorder="1" applyAlignment="1">
      <alignment horizontal="center" vertical="center" wrapText="1"/>
    </xf>
    <xf numFmtId="176" fontId="0" fillId="44" borderId="53" xfId="0" applyNumberFormat="1" applyFill="1" applyBorder="1" applyAlignment="1">
      <alignment vertical="center"/>
    </xf>
    <xf numFmtId="0" fontId="5" fillId="57" borderId="54" xfId="0" applyFont="1" applyFill="1" applyBorder="1" applyAlignment="1">
      <alignment horizontal="center" vertical="center"/>
    </xf>
    <xf numFmtId="0" fontId="45" fillId="44" borderId="54" xfId="0" applyFont="1" applyFill="1" applyBorder="1" applyAlignment="1">
      <alignment horizontal="justify" vertical="center" wrapText="1"/>
    </xf>
    <xf numFmtId="0" fontId="0" fillId="44" borderId="54" xfId="0" applyFill="1" applyBorder="1" applyAlignment="1">
      <alignment horizontal="center" vertical="center" wrapText="1"/>
    </xf>
    <xf numFmtId="3" fontId="0" fillId="44" borderId="54" xfId="0" applyNumberFormat="1" applyFill="1" applyBorder="1" applyAlignment="1">
      <alignment horizontal="center" vertical="center" wrapText="1"/>
    </xf>
    <xf numFmtId="176" fontId="0" fillId="44" borderId="54" xfId="0" applyNumberFormat="1" applyFill="1" applyBorder="1" applyAlignment="1">
      <alignment vertical="center"/>
    </xf>
    <xf numFmtId="176" fontId="4" fillId="59" borderId="0" xfId="0" applyNumberFormat="1" applyFont="1" applyFill="1" applyAlignment="1">
      <alignment horizontal="center"/>
    </xf>
    <xf numFmtId="164" fontId="0" fillId="0" borderId="0" xfId="0" applyNumberFormat="1"/>
    <xf numFmtId="1" fontId="0" fillId="0" borderId="0" xfId="0" applyNumberFormat="1"/>
    <xf numFmtId="0" fontId="13" fillId="47" borderId="22" xfId="0" applyFont="1" applyFill="1" applyBorder="1" applyAlignment="1">
      <alignment horizontal="center" vertical="center" wrapText="1"/>
    </xf>
    <xf numFmtId="165" fontId="28" fillId="44" borderId="3" xfId="1" applyFont="1" applyFill="1" applyBorder="1" applyAlignment="1">
      <alignment vertical="center" wrapText="1"/>
    </xf>
    <xf numFmtId="0" fontId="0" fillId="27" borderId="55" xfId="1" applyNumberFormat="1" applyFont="1" applyFill="1" applyBorder="1" applyAlignment="1" applyProtection="1">
      <alignment vertical="center" wrapText="1"/>
      <protection locked="0"/>
    </xf>
    <xf numFmtId="165" fontId="0" fillId="27" borderId="55" xfId="1" applyFont="1" applyFill="1" applyBorder="1" applyAlignment="1">
      <alignment vertical="center" wrapText="1"/>
    </xf>
    <xf numFmtId="9" fontId="6" fillId="44" borderId="40" xfId="2" applyFont="1" applyFill="1" applyBorder="1" applyAlignment="1" applyProtection="1">
      <alignment horizontal="center" vertical="center" wrapText="1"/>
    </xf>
    <xf numFmtId="9" fontId="28" fillId="33" borderId="23" xfId="2" applyFont="1" applyFill="1" applyBorder="1" applyAlignment="1">
      <alignment horizontal="center" vertical="center"/>
    </xf>
    <xf numFmtId="9" fontId="28" fillId="55" borderId="23" xfId="2" applyFont="1" applyFill="1" applyBorder="1" applyAlignment="1">
      <alignment horizontal="center" vertical="center"/>
    </xf>
    <xf numFmtId="0" fontId="13" fillId="46" borderId="23" xfId="0" applyFont="1" applyFill="1" applyBorder="1" applyAlignment="1">
      <alignment horizontal="center" vertical="center" wrapText="1"/>
    </xf>
    <xf numFmtId="176" fontId="0" fillId="44" borderId="54" xfId="0" applyNumberFormat="1" applyFill="1" applyBorder="1" applyAlignment="1">
      <alignment horizontal="center" vertical="center"/>
    </xf>
    <xf numFmtId="0" fontId="46" fillId="31" borderId="0" xfId="0" applyFont="1" applyFill="1"/>
    <xf numFmtId="176" fontId="47" fillId="44" borderId="54" xfId="0" applyNumberFormat="1" applyFont="1" applyFill="1" applyBorder="1" applyAlignment="1">
      <alignment vertical="center"/>
    </xf>
    <xf numFmtId="9" fontId="0" fillId="44" borderId="53" xfId="2" applyFont="1" applyFill="1" applyBorder="1" applyAlignment="1">
      <alignment vertical="center"/>
    </xf>
    <xf numFmtId="9" fontId="0" fillId="44" borderId="54" xfId="2" applyFont="1" applyFill="1" applyBorder="1" applyAlignment="1">
      <alignment vertical="center"/>
    </xf>
    <xf numFmtId="9" fontId="4" fillId="59" borderId="0" xfId="2" applyFont="1" applyFill="1" applyAlignment="1">
      <alignment horizontal="center"/>
    </xf>
    <xf numFmtId="9" fontId="6" fillId="23" borderId="25" xfId="2" applyFont="1" applyFill="1" applyBorder="1" applyAlignment="1" applyProtection="1">
      <alignment horizontal="center"/>
      <protection locked="0"/>
    </xf>
    <xf numFmtId="164" fontId="6" fillId="23" borderId="25" xfId="0" applyNumberFormat="1" applyFont="1" applyFill="1" applyBorder="1"/>
    <xf numFmtId="0" fontId="28" fillId="23" borderId="25" xfId="0" applyFont="1" applyFill="1" applyBorder="1" applyAlignment="1">
      <alignment horizontal="center" vertical="center"/>
    </xf>
    <xf numFmtId="44" fontId="0" fillId="23" borderId="25" xfId="0" applyNumberFormat="1" applyFill="1" applyBorder="1" applyAlignment="1">
      <alignment vertical="center"/>
    </xf>
    <xf numFmtId="9" fontId="0" fillId="23" borderId="25" xfId="2" applyFont="1" applyFill="1" applyBorder="1" applyAlignment="1">
      <alignment horizontal="center" vertical="center"/>
    </xf>
    <xf numFmtId="176" fontId="0" fillId="44" borderId="57" xfId="0" applyNumberFormat="1" applyFill="1" applyBorder="1" applyAlignment="1">
      <alignment horizontal="center" vertical="center"/>
    </xf>
    <xf numFmtId="0" fontId="4" fillId="59" borderId="9" xfId="0" applyFont="1" applyFill="1" applyBorder="1" applyAlignment="1">
      <alignment horizontal="center" vertical="center"/>
    </xf>
    <xf numFmtId="0" fontId="4" fillId="59" borderId="9" xfId="0" applyFont="1" applyFill="1" applyBorder="1" applyAlignment="1">
      <alignment horizontal="center" vertical="center" wrapText="1"/>
    </xf>
    <xf numFmtId="2" fontId="0" fillId="6" borderId="0" xfId="13" applyNumberFormat="1" applyFont="1" applyFill="1" applyBorder="1" applyAlignment="1" applyProtection="1">
      <alignment horizontal="right" vertical="center" wrapText="1"/>
      <protection locked="0"/>
    </xf>
    <xf numFmtId="2" fontId="2" fillId="6" borderId="0" xfId="13" applyNumberFormat="1" applyFont="1" applyFill="1" applyBorder="1" applyAlignment="1" applyProtection="1">
      <alignment horizontal="right" vertical="center" wrapText="1"/>
      <protection locked="0"/>
    </xf>
    <xf numFmtId="165" fontId="5" fillId="51" borderId="0" xfId="7" applyNumberFormat="1" applyFill="1" applyBorder="1" applyAlignment="1">
      <alignment horizontal="left" vertical="center" wrapText="1" indent="1"/>
    </xf>
    <xf numFmtId="165" fontId="5" fillId="60" borderId="0" xfId="6" applyNumberFormat="1" applyFill="1" applyBorder="1" applyAlignment="1">
      <alignment horizontal="left" vertical="center" wrapText="1" indent="1"/>
    </xf>
    <xf numFmtId="165" fontId="5" fillId="60" borderId="0" xfId="7" applyNumberFormat="1" applyFill="1" applyBorder="1" applyAlignment="1">
      <alignment horizontal="left" vertical="center" wrapText="1" indent="1"/>
    </xf>
    <xf numFmtId="2" fontId="0" fillId="6" borderId="0" xfId="2" applyNumberFormat="1" applyFont="1" applyFill="1" applyBorder="1" applyAlignment="1" applyProtection="1">
      <alignment vertical="center" wrapText="1"/>
      <protection locked="0"/>
    </xf>
    <xf numFmtId="2" fontId="2" fillId="6" borderId="0" xfId="1" applyNumberFormat="1" applyFont="1" applyFill="1" applyBorder="1" applyAlignment="1" applyProtection="1">
      <alignment horizontal="right" vertical="center" wrapText="1"/>
      <protection locked="0"/>
    </xf>
    <xf numFmtId="164" fontId="42" fillId="31" borderId="0" xfId="0" applyNumberFormat="1" applyFont="1" applyFill="1" applyAlignment="1">
      <alignment horizontal="center"/>
    </xf>
    <xf numFmtId="0" fontId="47" fillId="52" borderId="0" xfId="0" applyFont="1" applyFill="1"/>
    <xf numFmtId="166" fontId="6" fillId="42" borderId="49" xfId="2" applyNumberFormat="1" applyFont="1" applyFill="1" applyBorder="1" applyAlignment="1" applyProtection="1">
      <alignment horizontal="center"/>
      <protection locked="0"/>
    </xf>
    <xf numFmtId="166" fontId="6" fillId="58" borderId="49" xfId="2" applyNumberFormat="1" applyFont="1" applyFill="1" applyBorder="1" applyAlignment="1" applyProtection="1">
      <alignment horizontal="center"/>
      <protection locked="0"/>
    </xf>
    <xf numFmtId="166" fontId="6" fillId="30" borderId="5" xfId="2" applyNumberFormat="1" applyFont="1" applyFill="1" applyBorder="1" applyAlignment="1" applyProtection="1">
      <alignment horizontal="center" vertical="center" wrapText="1"/>
    </xf>
    <xf numFmtId="166" fontId="16" fillId="30" borderId="5" xfId="2" applyNumberFormat="1" applyFont="1" applyFill="1" applyBorder="1" applyAlignment="1">
      <alignment horizontal="center" vertical="center" wrapText="1"/>
    </xf>
    <xf numFmtId="165" fontId="25" fillId="32" borderId="18" xfId="1" applyFont="1" applyFill="1" applyBorder="1" applyAlignment="1">
      <alignment horizontal="center" vertical="center" wrapText="1"/>
    </xf>
    <xf numFmtId="165" fontId="6" fillId="31" borderId="0" xfId="1" applyFont="1" applyFill="1" applyBorder="1" applyAlignment="1">
      <alignment vertical="center" wrapText="1"/>
    </xf>
    <xf numFmtId="10" fontId="27" fillId="31" borderId="0" xfId="2" applyNumberFormat="1" applyFont="1" applyFill="1" applyBorder="1" applyAlignment="1">
      <alignment horizontal="center" vertical="center" wrapText="1"/>
    </xf>
    <xf numFmtId="164" fontId="7" fillId="31" borderId="0" xfId="1" applyNumberFormat="1" applyFont="1" applyFill="1" applyBorder="1" applyAlignment="1">
      <alignment vertical="center" wrapText="1"/>
    </xf>
    <xf numFmtId="0" fontId="0" fillId="35" borderId="58" xfId="0" applyFill="1" applyBorder="1"/>
    <xf numFmtId="0" fontId="0" fillId="35" borderId="59" xfId="0" applyFill="1" applyBorder="1"/>
    <xf numFmtId="0" fontId="6" fillId="35" borderId="59" xfId="0" applyFont="1" applyFill="1" applyBorder="1" applyAlignment="1">
      <alignment horizontal="center" vertical="center"/>
    </xf>
    <xf numFmtId="0" fontId="28" fillId="42" borderId="59" xfId="0" applyFont="1" applyFill="1" applyBorder="1" applyAlignment="1" applyProtection="1">
      <alignment horizontal="center" vertical="center" wrapText="1"/>
      <protection locked="0"/>
    </xf>
    <xf numFmtId="0" fontId="28" fillId="42" borderId="60" xfId="0" applyFont="1" applyFill="1" applyBorder="1" applyAlignment="1" applyProtection="1">
      <alignment horizontal="center" vertical="center" wrapText="1"/>
      <protection locked="0"/>
    </xf>
    <xf numFmtId="0" fontId="28" fillId="42" borderId="55" xfId="0" applyFont="1" applyFill="1" applyBorder="1" applyAlignment="1" applyProtection="1">
      <alignment horizontal="center" vertical="center"/>
      <protection locked="0"/>
    </xf>
    <xf numFmtId="164" fontId="6" fillId="42" borderId="0" xfId="0" applyNumberFormat="1" applyFont="1" applyFill="1"/>
    <xf numFmtId="164" fontId="6" fillId="42" borderId="56" xfId="0" applyNumberFormat="1" applyFont="1" applyFill="1" applyBorder="1"/>
    <xf numFmtId="0" fontId="28" fillId="58" borderId="55" xfId="0" applyFont="1" applyFill="1" applyBorder="1" applyAlignment="1" applyProtection="1">
      <alignment horizontal="center" vertical="center"/>
      <protection locked="0"/>
    </xf>
    <xf numFmtId="164" fontId="6" fillId="58" borderId="0" xfId="0" applyNumberFormat="1" applyFont="1" applyFill="1"/>
    <xf numFmtId="164" fontId="6" fillId="58" borderId="56" xfId="0" applyNumberFormat="1" applyFont="1" applyFill="1" applyBorder="1"/>
    <xf numFmtId="0" fontId="28" fillId="42" borderId="61" xfId="0" applyFont="1" applyFill="1" applyBorder="1" applyAlignment="1" applyProtection="1">
      <alignment horizontal="center" vertical="center"/>
      <protection locked="0"/>
    </xf>
    <xf numFmtId="166" fontId="6" fillId="42" borderId="62" xfId="2" applyNumberFormat="1" applyFont="1" applyFill="1" applyBorder="1" applyAlignment="1" applyProtection="1">
      <alignment horizontal="center"/>
      <protection locked="0"/>
    </xf>
    <xf numFmtId="164" fontId="6" fillId="42" borderId="63" xfId="0" applyNumberFormat="1" applyFont="1" applyFill="1" applyBorder="1"/>
    <xf numFmtId="164" fontId="6" fillId="42" borderId="26" xfId="0" applyNumberFormat="1" applyFont="1" applyFill="1" applyBorder="1"/>
    <xf numFmtId="164" fontId="13" fillId="35" borderId="3" xfId="0" applyNumberFormat="1" applyFont="1" applyFill="1" applyBorder="1" applyAlignment="1">
      <alignment horizontal="center" vertical="center"/>
    </xf>
    <xf numFmtId="165" fontId="28" fillId="42" borderId="1" xfId="1" applyFont="1" applyFill="1" applyBorder="1" applyAlignment="1">
      <alignment horizontal="center" vertical="center" wrapText="1"/>
    </xf>
    <xf numFmtId="165" fontId="28" fillId="42" borderId="3" xfId="1" applyFont="1" applyFill="1" applyBorder="1" applyAlignment="1">
      <alignment vertical="center" wrapText="1"/>
    </xf>
    <xf numFmtId="9" fontId="0" fillId="5" borderId="40" xfId="2" applyFont="1" applyFill="1" applyBorder="1" applyAlignment="1" applyProtection="1">
      <alignment horizontal="center" vertical="center" wrapText="1"/>
      <protection locked="0"/>
    </xf>
    <xf numFmtId="9" fontId="0" fillId="5" borderId="25" xfId="2" applyFont="1" applyFill="1" applyBorder="1" applyAlignment="1" applyProtection="1">
      <alignment horizontal="center" vertical="center" wrapText="1"/>
      <protection locked="0"/>
    </xf>
    <xf numFmtId="0" fontId="0" fillId="27" borderId="55" xfId="1" applyNumberFormat="1" applyFont="1" applyFill="1" applyBorder="1" applyAlignment="1" applyProtection="1">
      <alignment horizontal="center" vertical="center" wrapText="1"/>
      <protection locked="0"/>
    </xf>
    <xf numFmtId="0" fontId="0" fillId="27" borderId="56" xfId="1" applyNumberFormat="1" applyFont="1" applyFill="1" applyBorder="1" applyAlignment="1" applyProtection="1">
      <alignment horizontal="center" vertical="center" wrapText="1"/>
      <protection locked="0"/>
    </xf>
    <xf numFmtId="165" fontId="0" fillId="27" borderId="55" xfId="1" applyFont="1" applyFill="1" applyBorder="1" applyAlignment="1">
      <alignment horizontal="center" vertical="center" wrapText="1"/>
    </xf>
    <xf numFmtId="164" fontId="6" fillId="42" borderId="40" xfId="1" applyNumberFormat="1" applyFont="1" applyFill="1" applyBorder="1" applyAlignment="1" applyProtection="1">
      <alignment horizontal="center" vertical="center" wrapText="1"/>
    </xf>
    <xf numFmtId="165" fontId="0" fillId="27" borderId="56" xfId="1" applyFont="1" applyFill="1" applyBorder="1" applyAlignment="1">
      <alignment horizontal="center" vertical="center" wrapText="1"/>
    </xf>
    <xf numFmtId="165" fontId="0" fillId="27" borderId="0" xfId="1" applyFont="1" applyFill="1" applyBorder="1" applyAlignment="1">
      <alignment horizontal="center" vertical="center" wrapText="1"/>
    </xf>
    <xf numFmtId="164" fontId="0" fillId="5" borderId="25" xfId="1" applyNumberFormat="1" applyFont="1" applyFill="1" applyBorder="1" applyAlignment="1" applyProtection="1">
      <alignment horizontal="center" vertical="center" wrapText="1"/>
      <protection locked="0"/>
    </xf>
    <xf numFmtId="44" fontId="6" fillId="44" borderId="40" xfId="13" applyFont="1" applyFill="1" applyBorder="1" applyAlignment="1" applyProtection="1">
      <alignment horizontal="center" vertical="center" wrapText="1"/>
    </xf>
    <xf numFmtId="165" fontId="0" fillId="27" borderId="0" xfId="1" applyFont="1" applyFill="1" applyBorder="1" applyAlignment="1" applyProtection="1">
      <alignment horizontal="center" vertical="center" wrapText="1"/>
      <protection locked="0"/>
    </xf>
    <xf numFmtId="44" fontId="0" fillId="42" borderId="40" xfId="13" applyFont="1" applyFill="1" applyBorder="1" applyAlignment="1" applyProtection="1">
      <alignment horizontal="center" vertical="center" wrapText="1"/>
    </xf>
    <xf numFmtId="0" fontId="0" fillId="31" borderId="55" xfId="1" applyNumberFormat="1" applyFont="1" applyFill="1" applyBorder="1" applyAlignment="1" applyProtection="1">
      <alignment horizontal="center" vertical="center" wrapText="1"/>
      <protection locked="0"/>
    </xf>
    <xf numFmtId="0" fontId="0" fillId="31" borderId="56" xfId="1" applyNumberFormat="1" applyFont="1" applyFill="1" applyBorder="1" applyAlignment="1" applyProtection="1">
      <alignment horizontal="center" vertical="center" wrapText="1"/>
      <protection locked="0"/>
    </xf>
    <xf numFmtId="165" fontId="0" fillId="31" borderId="55" xfId="1" applyFont="1" applyFill="1" applyBorder="1" applyAlignment="1">
      <alignment horizontal="center" vertical="center" wrapText="1"/>
    </xf>
    <xf numFmtId="164" fontId="6" fillId="42" borderId="25" xfId="1" applyNumberFormat="1" applyFont="1" applyFill="1" applyBorder="1" applyAlignment="1" applyProtection="1">
      <alignment horizontal="center" vertical="center" wrapText="1"/>
    </xf>
    <xf numFmtId="165" fontId="0" fillId="31" borderId="56" xfId="1" applyFont="1" applyFill="1" applyBorder="1" applyAlignment="1">
      <alignment horizontal="center" vertical="center" wrapText="1"/>
    </xf>
    <xf numFmtId="165" fontId="0" fillId="31" borderId="0" xfId="1" applyFont="1" applyFill="1" applyBorder="1" applyAlignment="1">
      <alignment horizontal="center" vertical="center" wrapText="1"/>
    </xf>
    <xf numFmtId="165" fontId="0" fillId="31" borderId="0" xfId="1" applyFont="1" applyFill="1" applyBorder="1" applyAlignment="1" applyProtection="1">
      <alignment horizontal="center" vertical="center" wrapText="1"/>
      <protection locked="0"/>
    </xf>
    <xf numFmtId="44" fontId="0" fillId="42" borderId="25" xfId="13" applyFont="1" applyFill="1" applyBorder="1" applyAlignment="1" applyProtection="1">
      <alignment horizontal="center" vertical="center" wrapText="1"/>
    </xf>
    <xf numFmtId="164" fontId="0" fillId="44" borderId="25" xfId="1" applyNumberFormat="1" applyFont="1" applyFill="1" applyBorder="1" applyAlignment="1" applyProtection="1">
      <alignment horizontal="center" vertical="center" wrapText="1"/>
    </xf>
    <xf numFmtId="164" fontId="0" fillId="5" borderId="25" xfId="1" applyNumberFormat="1" applyFont="1" applyFill="1" applyBorder="1" applyAlignment="1" applyProtection="1">
      <alignment horizontal="center" vertical="center" wrapText="1"/>
    </xf>
    <xf numFmtId="0" fontId="15" fillId="42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165" fontId="4" fillId="12" borderId="0" xfId="6" applyNumberFormat="1" applyFont="1" applyBorder="1" applyAlignment="1">
      <alignment horizontal="center" vertical="center" wrapText="1"/>
    </xf>
    <xf numFmtId="165" fontId="6" fillId="25" borderId="0" xfId="11" applyNumberFormat="1" applyFont="1" applyFill="1" applyBorder="1" applyAlignment="1">
      <alignment horizontal="center" vertical="center" wrapText="1"/>
    </xf>
    <xf numFmtId="165" fontId="4" fillId="14" borderId="0" xfId="8" applyNumberFormat="1" applyFont="1" applyBorder="1" applyAlignment="1">
      <alignment horizontal="center" vertical="center" wrapText="1"/>
    </xf>
    <xf numFmtId="165" fontId="4" fillId="10" borderId="0" xfId="4" applyNumberFormat="1" applyFont="1" applyBorder="1" applyAlignment="1">
      <alignment horizontal="center" vertical="center" wrapText="1"/>
    </xf>
    <xf numFmtId="165" fontId="28" fillId="44" borderId="1" xfId="1" applyFont="1" applyFill="1" applyBorder="1" applyAlignment="1">
      <alignment horizontal="center" vertical="center" wrapText="1"/>
    </xf>
    <xf numFmtId="165" fontId="28" fillId="44" borderId="3" xfId="1" applyFont="1" applyFill="1" applyBorder="1" applyAlignment="1">
      <alignment horizontal="center" vertical="center" wrapText="1"/>
    </xf>
    <xf numFmtId="165" fontId="28" fillId="42" borderId="1" xfId="1" applyFont="1" applyFill="1" applyBorder="1" applyAlignment="1">
      <alignment horizontal="center" vertical="center" wrapText="1"/>
    </xf>
    <xf numFmtId="165" fontId="28" fillId="42" borderId="3" xfId="1" applyFont="1" applyFill="1" applyBorder="1" applyAlignment="1">
      <alignment horizontal="center" vertical="center" wrapText="1"/>
    </xf>
    <xf numFmtId="165" fontId="5" fillId="16" borderId="0" xfId="10" applyNumberFormat="1" applyBorder="1" applyAlignment="1">
      <alignment horizontal="left" vertical="center" wrapText="1" indent="1"/>
    </xf>
    <xf numFmtId="165" fontId="4" fillId="16" borderId="0" xfId="10" applyNumberFormat="1" applyFont="1" applyBorder="1" applyAlignment="1">
      <alignment horizontal="center" vertical="center" wrapText="1"/>
    </xf>
    <xf numFmtId="165" fontId="4" fillId="17" borderId="0" xfId="11" applyNumberFormat="1" applyFont="1" applyBorder="1" applyAlignment="1">
      <alignment horizontal="center" vertical="center" wrapText="1"/>
    </xf>
    <xf numFmtId="164" fontId="4" fillId="46" borderId="13" xfId="0" applyNumberFormat="1" applyFont="1" applyFill="1" applyBorder="1" applyAlignment="1">
      <alignment horizontal="center" vertical="center"/>
    </xf>
    <xf numFmtId="164" fontId="4" fillId="46" borderId="22" xfId="0" applyNumberFormat="1" applyFont="1" applyFill="1" applyBorder="1" applyAlignment="1">
      <alignment horizontal="center" vertical="center"/>
    </xf>
    <xf numFmtId="164" fontId="26" fillId="40" borderId="11" xfId="2" applyNumberFormat="1" applyFont="1" applyFill="1" applyBorder="1" applyAlignment="1">
      <alignment horizontal="center" vertical="center"/>
    </xf>
    <xf numFmtId="0" fontId="25" fillId="41" borderId="11" xfId="0" applyFont="1" applyFill="1" applyBorder="1" applyAlignment="1">
      <alignment horizontal="center" vertical="center"/>
    </xf>
    <xf numFmtId="164" fontId="26" fillId="40" borderId="13" xfId="2" applyNumberFormat="1" applyFont="1" applyFill="1" applyBorder="1" applyAlignment="1">
      <alignment horizontal="center" vertical="center"/>
    </xf>
    <xf numFmtId="164" fontId="26" fillId="40" borderId="22" xfId="2" applyNumberFormat="1" applyFont="1" applyFill="1" applyBorder="1" applyAlignment="1">
      <alignment horizontal="center" vertical="center"/>
    </xf>
    <xf numFmtId="164" fontId="24" fillId="40" borderId="13" xfId="0" applyNumberFormat="1" applyFont="1" applyFill="1" applyBorder="1" applyAlignment="1">
      <alignment horizontal="center" vertical="center"/>
    </xf>
    <xf numFmtId="164" fontId="24" fillId="40" borderId="22" xfId="0" applyNumberFormat="1" applyFont="1" applyFill="1" applyBorder="1" applyAlignment="1">
      <alignment horizontal="center" vertical="center"/>
    </xf>
    <xf numFmtId="0" fontId="25" fillId="41" borderId="13" xfId="0" applyFont="1" applyFill="1" applyBorder="1" applyAlignment="1">
      <alignment horizontal="center" vertical="center"/>
    </xf>
    <xf numFmtId="0" fontId="25" fillId="41" borderId="23" xfId="0" applyFont="1" applyFill="1" applyBorder="1" applyAlignment="1">
      <alignment horizontal="center" vertical="center"/>
    </xf>
    <xf numFmtId="0" fontId="25" fillId="41" borderId="14" xfId="0" applyFont="1" applyFill="1" applyBorder="1" applyAlignment="1">
      <alignment horizontal="center" vertical="center"/>
    </xf>
    <xf numFmtId="0" fontId="25" fillId="41" borderId="8" xfId="0" applyFont="1" applyFill="1" applyBorder="1" applyAlignment="1">
      <alignment horizontal="center" vertical="center"/>
    </xf>
    <xf numFmtId="166" fontId="26" fillId="30" borderId="13" xfId="2" applyNumberFormat="1" applyFont="1" applyFill="1" applyBorder="1" applyAlignment="1" applyProtection="1">
      <alignment horizontal="center" vertical="center"/>
      <protection locked="0"/>
    </xf>
    <xf numFmtId="166" fontId="26" fillId="30" borderId="22" xfId="2" applyNumberFormat="1" applyFont="1" applyFill="1" applyBorder="1" applyAlignment="1" applyProtection="1">
      <alignment horizontal="center" vertical="center"/>
      <protection locked="0"/>
    </xf>
    <xf numFmtId="164" fontId="24" fillId="40" borderId="11" xfId="0" applyNumberFormat="1" applyFont="1" applyFill="1" applyBorder="1" applyAlignment="1">
      <alignment horizontal="center" vertical="center"/>
    </xf>
    <xf numFmtId="164" fontId="7" fillId="40" borderId="11" xfId="2" applyNumberFormat="1" applyFont="1" applyFill="1" applyBorder="1" applyAlignment="1">
      <alignment horizontal="center" vertical="center"/>
    </xf>
    <xf numFmtId="9" fontId="26" fillId="30" borderId="13" xfId="2" applyFont="1" applyFill="1" applyBorder="1" applyAlignment="1" applyProtection="1">
      <alignment horizontal="center" vertical="center"/>
      <protection locked="0"/>
    </xf>
    <xf numFmtId="9" fontId="26" fillId="30" borderId="22" xfId="2" applyFont="1" applyFill="1" applyBorder="1" applyAlignment="1" applyProtection="1">
      <alignment horizontal="center" vertical="center"/>
      <protection locked="0"/>
    </xf>
    <xf numFmtId="0" fontId="25" fillId="41" borderId="22" xfId="0" applyFont="1" applyFill="1" applyBorder="1" applyAlignment="1">
      <alignment horizontal="center" vertical="center"/>
    </xf>
    <xf numFmtId="172" fontId="27" fillId="40" borderId="13" xfId="0" applyNumberFormat="1" applyFont="1" applyFill="1" applyBorder="1" applyAlignment="1">
      <alignment horizontal="center" vertical="center"/>
    </xf>
    <xf numFmtId="172" fontId="27" fillId="40" borderId="22" xfId="0" applyNumberFormat="1" applyFont="1" applyFill="1" applyBorder="1" applyAlignment="1">
      <alignment horizontal="center" vertical="center"/>
    </xf>
    <xf numFmtId="0" fontId="7" fillId="49" borderId="0" xfId="0" applyFont="1" applyFill="1" applyAlignment="1" applyProtection="1">
      <alignment horizontal="center" vertical="center"/>
      <protection locked="0"/>
    </xf>
    <xf numFmtId="0" fontId="7" fillId="49" borderId="17" xfId="0" applyFont="1" applyFill="1" applyBorder="1" applyAlignment="1" applyProtection="1">
      <alignment horizontal="center" vertical="center"/>
      <protection locked="0"/>
    </xf>
    <xf numFmtId="0" fontId="7" fillId="52" borderId="0" xfId="0" applyFont="1" applyFill="1" applyAlignment="1" applyProtection="1">
      <alignment horizontal="center" vertical="center"/>
      <protection locked="0"/>
    </xf>
    <xf numFmtId="0" fontId="7" fillId="52" borderId="17" xfId="0" applyFont="1" applyFill="1" applyBorder="1" applyAlignment="1" applyProtection="1">
      <alignment horizontal="center" vertical="center"/>
      <protection locked="0"/>
    </xf>
    <xf numFmtId="0" fontId="7" fillId="42" borderId="29" xfId="0" applyFont="1" applyFill="1" applyBorder="1" applyAlignment="1">
      <alignment horizontal="center" vertical="center"/>
    </xf>
    <xf numFmtId="10" fontId="24" fillId="40" borderId="11" xfId="0" applyNumberFormat="1" applyFont="1" applyFill="1" applyBorder="1" applyAlignment="1">
      <alignment horizontal="center" vertical="center"/>
    </xf>
    <xf numFmtId="9" fontId="26" fillId="40" borderId="13" xfId="2" applyFont="1" applyFill="1" applyBorder="1" applyAlignment="1" applyProtection="1">
      <alignment horizontal="center" vertical="center"/>
    </xf>
    <xf numFmtId="9" fontId="26" fillId="40" borderId="22" xfId="2" applyFont="1" applyFill="1" applyBorder="1" applyAlignment="1" applyProtection="1">
      <alignment horizontal="center" vertical="center"/>
    </xf>
    <xf numFmtId="10" fontId="4" fillId="47" borderId="13" xfId="2" applyNumberFormat="1" applyFont="1" applyFill="1" applyBorder="1" applyAlignment="1">
      <alignment horizontal="center" vertical="center"/>
    </xf>
    <xf numFmtId="10" fontId="4" fillId="47" borderId="22" xfId="2" applyNumberFormat="1" applyFont="1" applyFill="1" applyBorder="1" applyAlignment="1">
      <alignment horizontal="center" vertical="center"/>
    </xf>
    <xf numFmtId="164" fontId="13" fillId="47" borderId="13" xfId="0" applyNumberFormat="1" applyFont="1" applyFill="1" applyBorder="1" applyAlignment="1">
      <alignment horizontal="center" vertical="center"/>
    </xf>
    <xf numFmtId="164" fontId="13" fillId="47" borderId="22" xfId="0" applyNumberFormat="1" applyFont="1" applyFill="1" applyBorder="1" applyAlignment="1">
      <alignment horizontal="center" vertical="center"/>
    </xf>
    <xf numFmtId="0" fontId="21" fillId="27" borderId="24" xfId="0" applyFont="1" applyFill="1" applyBorder="1" applyAlignment="1">
      <alignment horizontal="center" vertical="center"/>
    </xf>
    <xf numFmtId="0" fontId="7" fillId="52" borderId="9" xfId="0" applyFont="1" applyFill="1" applyBorder="1" applyAlignment="1" applyProtection="1">
      <alignment horizontal="center" vertical="center"/>
      <protection locked="0"/>
    </xf>
    <xf numFmtId="0" fontId="7" fillId="52" borderId="10" xfId="0" applyFont="1" applyFill="1" applyBorder="1" applyAlignment="1" applyProtection="1">
      <alignment horizontal="center" vertical="center"/>
      <protection locked="0"/>
    </xf>
    <xf numFmtId="0" fontId="21" fillId="37" borderId="14" xfId="0" applyFont="1" applyFill="1" applyBorder="1" applyAlignment="1">
      <alignment horizontal="center" vertical="center"/>
    </xf>
    <xf numFmtId="0" fontId="21" fillId="37" borderId="19" xfId="0" applyFont="1" applyFill="1" applyBorder="1" applyAlignment="1">
      <alignment horizontal="center" vertical="center"/>
    </xf>
    <xf numFmtId="0" fontId="21" fillId="37" borderId="15" xfId="0" applyFont="1" applyFill="1" applyBorder="1" applyAlignment="1">
      <alignment horizontal="center" vertical="center"/>
    </xf>
    <xf numFmtId="0" fontId="21" fillId="37" borderId="8" xfId="0" applyFont="1" applyFill="1" applyBorder="1" applyAlignment="1">
      <alignment horizontal="center" vertical="center"/>
    </xf>
    <xf numFmtId="0" fontId="21" fillId="37" borderId="9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171" fontId="25" fillId="40" borderId="11" xfId="2" applyNumberFormat="1" applyFont="1" applyFill="1" applyBorder="1" applyAlignment="1">
      <alignment horizontal="center" vertical="center"/>
    </xf>
    <xf numFmtId="164" fontId="27" fillId="40" borderId="13" xfId="0" applyNumberFormat="1" applyFont="1" applyFill="1" applyBorder="1" applyAlignment="1">
      <alignment horizontal="center" vertical="center"/>
    </xf>
    <xf numFmtId="164" fontId="27" fillId="40" borderId="22" xfId="0" applyNumberFormat="1" applyFont="1" applyFill="1" applyBorder="1" applyAlignment="1">
      <alignment horizontal="center" vertical="center"/>
    </xf>
    <xf numFmtId="9" fontId="26" fillId="30" borderId="11" xfId="2" applyFont="1" applyFill="1" applyBorder="1" applyAlignment="1" applyProtection="1">
      <alignment horizontal="center" vertical="center"/>
      <protection locked="0"/>
    </xf>
    <xf numFmtId="9" fontId="26" fillId="40" borderId="13" xfId="2" applyFont="1" applyFill="1" applyBorder="1" applyAlignment="1">
      <alignment horizontal="center" vertical="center"/>
    </xf>
    <xf numFmtId="9" fontId="26" fillId="40" borderId="22" xfId="2" applyFont="1" applyFill="1" applyBorder="1" applyAlignment="1">
      <alignment horizontal="center" vertical="center"/>
    </xf>
    <xf numFmtId="10" fontId="26" fillId="30" borderId="13" xfId="2" applyNumberFormat="1" applyFont="1" applyFill="1" applyBorder="1" applyAlignment="1" applyProtection="1">
      <alignment horizontal="center" vertical="center"/>
      <protection locked="0"/>
    </xf>
    <xf numFmtId="10" fontId="26" fillId="30" borderId="22" xfId="2" applyNumberFormat="1" applyFont="1" applyFill="1" applyBorder="1" applyAlignment="1" applyProtection="1">
      <alignment horizontal="center" vertical="center"/>
      <protection locked="0"/>
    </xf>
    <xf numFmtId="0" fontId="23" fillId="39" borderId="0" xfId="0" applyFont="1" applyFill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14" fillId="37" borderId="0" xfId="0" applyFont="1" applyFill="1" applyAlignment="1">
      <alignment horizontal="center" vertical="center"/>
    </xf>
    <xf numFmtId="164" fontId="7" fillId="38" borderId="21" xfId="0" applyNumberFormat="1" applyFont="1" applyFill="1" applyBorder="1" applyAlignment="1">
      <alignment horizontal="center" vertical="center"/>
    </xf>
    <xf numFmtId="164" fontId="21" fillId="37" borderId="20" xfId="0" applyNumberFormat="1" applyFont="1" applyFill="1" applyBorder="1" applyAlignment="1">
      <alignment horizontal="center" vertical="center"/>
    </xf>
    <xf numFmtId="164" fontId="21" fillId="37" borderId="0" xfId="0" applyNumberFormat="1" applyFont="1" applyFill="1" applyAlignment="1">
      <alignment horizontal="center" vertical="center"/>
    </xf>
    <xf numFmtId="9" fontId="24" fillId="40" borderId="13" xfId="2" applyFont="1" applyFill="1" applyBorder="1" applyAlignment="1">
      <alignment horizontal="center" vertical="center"/>
    </xf>
    <xf numFmtId="9" fontId="24" fillId="40" borderId="22" xfId="2" applyFont="1" applyFill="1" applyBorder="1" applyAlignment="1">
      <alignment horizontal="center" vertical="center"/>
    </xf>
    <xf numFmtId="9" fontId="26" fillId="40" borderId="13" xfId="2" applyFont="1" applyFill="1" applyBorder="1" applyAlignment="1" applyProtection="1">
      <alignment horizontal="center" vertical="center"/>
      <protection locked="0"/>
    </xf>
    <xf numFmtId="9" fontId="26" fillId="40" borderId="22" xfId="2" applyFont="1" applyFill="1" applyBorder="1" applyAlignment="1" applyProtection="1">
      <alignment horizontal="center" vertical="center"/>
      <protection locked="0"/>
    </xf>
    <xf numFmtId="0" fontId="31" fillId="28" borderId="0" xfId="0" applyFont="1" applyFill="1" applyAlignment="1">
      <alignment horizontal="center" vertical="center"/>
    </xf>
    <xf numFmtId="175" fontId="4" fillId="46" borderId="13" xfId="0" applyNumberFormat="1" applyFont="1" applyFill="1" applyBorder="1" applyAlignment="1">
      <alignment horizontal="center" vertical="center"/>
    </xf>
    <xf numFmtId="175" fontId="4" fillId="46" borderId="22" xfId="0" applyNumberFormat="1" applyFont="1" applyFill="1" applyBorder="1" applyAlignment="1">
      <alignment horizontal="center" vertical="center"/>
    </xf>
    <xf numFmtId="0" fontId="7" fillId="52" borderId="0" xfId="0" applyFont="1" applyFill="1" applyAlignment="1" applyProtection="1">
      <alignment horizontal="center" vertical="center" wrapText="1"/>
      <protection locked="0"/>
    </xf>
    <xf numFmtId="0" fontId="21" fillId="37" borderId="0" xfId="0" applyFont="1" applyFill="1" applyAlignment="1">
      <alignment horizontal="center" vertical="center"/>
    </xf>
    <xf numFmtId="0" fontId="21" fillId="37" borderId="17" xfId="0" applyFont="1" applyFill="1" applyBorder="1" applyAlignment="1">
      <alignment horizontal="center" vertical="center"/>
    </xf>
    <xf numFmtId="10" fontId="24" fillId="40" borderId="13" xfId="0" applyNumberFormat="1" applyFont="1" applyFill="1" applyBorder="1" applyAlignment="1">
      <alignment horizontal="center" vertical="center"/>
    </xf>
    <xf numFmtId="10" fontId="24" fillId="40" borderId="22" xfId="0" applyNumberFormat="1" applyFont="1" applyFill="1" applyBorder="1" applyAlignment="1">
      <alignment horizontal="center" vertical="center"/>
    </xf>
    <xf numFmtId="164" fontId="24" fillId="40" borderId="15" xfId="0" applyNumberFormat="1" applyFont="1" applyFill="1" applyBorder="1" applyAlignment="1">
      <alignment horizontal="center" vertical="center"/>
    </xf>
    <xf numFmtId="164" fontId="24" fillId="40" borderId="10" xfId="0" applyNumberFormat="1" applyFont="1" applyFill="1" applyBorder="1" applyAlignment="1">
      <alignment horizontal="center" vertical="center"/>
    </xf>
    <xf numFmtId="165" fontId="14" fillId="32" borderId="0" xfId="1" applyFont="1" applyFill="1" applyBorder="1" applyAlignment="1">
      <alignment horizontal="center" vertical="center" wrapText="1"/>
    </xf>
    <xf numFmtId="165" fontId="14" fillId="32" borderId="12" xfId="1" applyFont="1" applyFill="1" applyBorder="1" applyAlignment="1">
      <alignment horizontal="center" vertical="center" wrapText="1"/>
    </xf>
    <xf numFmtId="165" fontId="13" fillId="28" borderId="0" xfId="1" applyFont="1" applyFill="1" applyBorder="1" applyAlignment="1">
      <alignment horizontal="center" vertical="center" wrapText="1"/>
    </xf>
    <xf numFmtId="172" fontId="26" fillId="21" borderId="5" xfId="1" applyNumberFormat="1" applyFont="1" applyFill="1" applyBorder="1" applyAlignment="1">
      <alignment horizontal="center" vertical="center" wrapText="1"/>
    </xf>
    <xf numFmtId="172" fontId="26" fillId="21" borderId="7" xfId="1" applyNumberFormat="1" applyFont="1" applyFill="1" applyBorder="1" applyAlignment="1">
      <alignment horizontal="center" vertical="center" wrapText="1"/>
    </xf>
    <xf numFmtId="164" fontId="42" fillId="31" borderId="18" xfId="0" applyNumberFormat="1" applyFont="1" applyFill="1" applyBorder="1" applyAlignment="1">
      <alignment horizontal="center"/>
    </xf>
    <xf numFmtId="164" fontId="42" fillId="31" borderId="0" xfId="0" applyNumberFormat="1" applyFont="1" applyFill="1" applyAlignment="1">
      <alignment horizontal="center"/>
    </xf>
    <xf numFmtId="0" fontId="13" fillId="35" borderId="1" xfId="0" applyFont="1" applyFill="1" applyBorder="1" applyAlignment="1">
      <alignment horizontal="center" vertical="center"/>
    </xf>
    <xf numFmtId="0" fontId="13" fillId="35" borderId="2" xfId="0" applyFont="1" applyFill="1" applyBorder="1" applyAlignment="1">
      <alignment horizontal="center" vertical="center"/>
    </xf>
    <xf numFmtId="164" fontId="25" fillId="32" borderId="52" xfId="1" applyNumberFormat="1" applyFont="1" applyFill="1" applyBorder="1" applyAlignment="1">
      <alignment horizontal="center" vertical="center" wrapText="1"/>
    </xf>
    <xf numFmtId="164" fontId="25" fillId="32" borderId="0" xfId="1" applyNumberFormat="1" applyFont="1" applyFill="1" applyBorder="1" applyAlignment="1">
      <alignment horizontal="center" vertical="center" wrapText="1"/>
    </xf>
    <xf numFmtId="164" fontId="25" fillId="32" borderId="17" xfId="1" applyNumberFormat="1" applyFont="1" applyFill="1" applyBorder="1" applyAlignment="1">
      <alignment horizontal="center" vertical="center" wrapText="1"/>
    </xf>
    <xf numFmtId="166" fontId="25" fillId="32" borderId="9" xfId="2" applyNumberFormat="1" applyFont="1" applyFill="1" applyBorder="1" applyAlignment="1">
      <alignment horizontal="center" vertical="center" wrapText="1"/>
    </xf>
    <xf numFmtId="0" fontId="34" fillId="32" borderId="34" xfId="0" applyFont="1" applyFill="1" applyBorder="1" applyAlignment="1">
      <alignment horizontal="center" vertical="center"/>
    </xf>
    <xf numFmtId="0" fontId="34" fillId="32" borderId="33" xfId="0" applyFont="1" applyFill="1" applyBorder="1" applyAlignment="1">
      <alignment horizontal="center" vertical="center"/>
    </xf>
    <xf numFmtId="0" fontId="34" fillId="32" borderId="32" xfId="0" applyFont="1" applyFill="1" applyBorder="1" applyAlignment="1">
      <alignment horizontal="center" vertical="center"/>
    </xf>
    <xf numFmtId="0" fontId="32" fillId="3" borderId="34" xfId="0" applyFont="1" applyFill="1" applyBorder="1" applyAlignment="1" applyProtection="1">
      <alignment horizontal="center" vertical="center"/>
      <protection locked="0"/>
    </xf>
    <xf numFmtId="0" fontId="32" fillId="3" borderId="33" xfId="0" applyFont="1" applyFill="1" applyBorder="1" applyAlignment="1" applyProtection="1">
      <alignment horizontal="center" vertical="center"/>
      <protection locked="0"/>
    </xf>
    <xf numFmtId="0" fontId="32" fillId="3" borderId="32" xfId="0" applyFont="1" applyFill="1" applyBorder="1" applyAlignment="1" applyProtection="1">
      <alignment horizontal="center" vertical="center"/>
      <protection locked="0"/>
    </xf>
    <xf numFmtId="0" fontId="32" fillId="6" borderId="34" xfId="0" applyFont="1" applyFill="1" applyBorder="1" applyAlignment="1" applyProtection="1">
      <alignment horizontal="center" vertical="center"/>
      <protection locked="0"/>
    </xf>
    <xf numFmtId="0" fontId="32" fillId="6" borderId="32" xfId="0" applyFont="1" applyFill="1" applyBorder="1" applyAlignment="1" applyProtection="1">
      <alignment horizontal="center" vertical="center"/>
      <protection locked="0"/>
    </xf>
    <xf numFmtId="175" fontId="15" fillId="6" borderId="34" xfId="0" applyNumberFormat="1" applyFont="1" applyFill="1" applyBorder="1" applyAlignment="1" applyProtection="1">
      <alignment horizontal="center" vertical="center"/>
      <protection locked="0"/>
    </xf>
    <xf numFmtId="175" fontId="15" fillId="6" borderId="33" xfId="0" applyNumberFormat="1" applyFont="1" applyFill="1" applyBorder="1" applyAlignment="1" applyProtection="1">
      <alignment horizontal="center" vertical="center"/>
      <protection locked="0"/>
    </xf>
    <xf numFmtId="175" fontId="15" fillId="6" borderId="32" xfId="0" applyNumberFormat="1" applyFont="1" applyFill="1" applyBorder="1" applyAlignment="1" applyProtection="1">
      <alignment horizontal="center" vertical="center"/>
      <protection locked="0"/>
    </xf>
    <xf numFmtId="175" fontId="15" fillId="3" borderId="34" xfId="0" applyNumberFormat="1" applyFont="1" applyFill="1" applyBorder="1" applyAlignment="1">
      <alignment horizontal="center" vertical="center"/>
    </xf>
    <xf numFmtId="175" fontId="15" fillId="3" borderId="32" xfId="0" applyNumberFormat="1" applyFont="1" applyFill="1" applyBorder="1" applyAlignment="1">
      <alignment horizontal="center" vertical="center"/>
    </xf>
    <xf numFmtId="0" fontId="13" fillId="28" borderId="34" xfId="0" applyFont="1" applyFill="1" applyBorder="1" applyAlignment="1">
      <alignment horizontal="center" vertical="center"/>
    </xf>
    <xf numFmtId="0" fontId="13" fillId="28" borderId="33" xfId="0" applyFont="1" applyFill="1" applyBorder="1" applyAlignment="1">
      <alignment horizontal="center" vertical="center"/>
    </xf>
    <xf numFmtId="0" fontId="13" fillId="28" borderId="32" xfId="0" applyFont="1" applyFill="1" applyBorder="1" applyAlignment="1">
      <alignment horizontal="center" vertical="center"/>
    </xf>
    <xf numFmtId="175" fontId="13" fillId="28" borderId="34" xfId="0" applyNumberFormat="1" applyFont="1" applyFill="1" applyBorder="1" applyAlignment="1">
      <alignment horizontal="center" vertical="center"/>
    </xf>
    <xf numFmtId="175" fontId="13" fillId="28" borderId="33" xfId="0" applyNumberFormat="1" applyFont="1" applyFill="1" applyBorder="1" applyAlignment="1">
      <alignment horizontal="center" vertical="center"/>
    </xf>
    <xf numFmtId="175" fontId="13" fillId="28" borderId="32" xfId="0" applyNumberFormat="1" applyFont="1" applyFill="1" applyBorder="1" applyAlignment="1">
      <alignment horizontal="center" vertical="center"/>
    </xf>
    <xf numFmtId="0" fontId="4" fillId="28" borderId="34" xfId="0" applyFont="1" applyFill="1" applyBorder="1" applyAlignment="1">
      <alignment horizontal="center" vertical="center"/>
    </xf>
    <xf numFmtId="0" fontId="4" fillId="28" borderId="33" xfId="0" applyFont="1" applyFill="1" applyBorder="1" applyAlignment="1">
      <alignment horizontal="center" vertical="center"/>
    </xf>
    <xf numFmtId="0" fontId="4" fillId="28" borderId="32" xfId="0" applyFont="1" applyFill="1" applyBorder="1" applyAlignment="1">
      <alignment horizontal="center" vertical="center"/>
    </xf>
    <xf numFmtId="164" fontId="13" fillId="28" borderId="34" xfId="0" applyNumberFormat="1" applyFont="1" applyFill="1" applyBorder="1" applyAlignment="1">
      <alignment horizontal="center" vertical="center" wrapText="1"/>
    </xf>
    <xf numFmtId="0" fontId="13" fillId="28" borderId="33" xfId="0" applyFont="1" applyFill="1" applyBorder="1" applyAlignment="1">
      <alignment horizontal="center" vertical="center" wrapText="1"/>
    </xf>
    <xf numFmtId="0" fontId="13" fillId="28" borderId="32" xfId="0" applyFont="1" applyFill="1" applyBorder="1" applyAlignment="1">
      <alignment horizontal="center" vertical="center" wrapText="1"/>
    </xf>
    <xf numFmtId="0" fontId="21" fillId="56" borderId="34" xfId="0" applyFont="1" applyFill="1" applyBorder="1" applyAlignment="1">
      <alignment horizontal="center" vertical="center"/>
    </xf>
    <xf numFmtId="0" fontId="21" fillId="56" borderId="33" xfId="0" applyFont="1" applyFill="1" applyBorder="1" applyAlignment="1">
      <alignment horizontal="center" vertical="center"/>
    </xf>
    <xf numFmtId="0" fontId="21" fillId="56" borderId="32" xfId="0" applyFont="1" applyFill="1" applyBorder="1" applyAlignment="1">
      <alignment horizontal="center" vertical="center"/>
    </xf>
    <xf numFmtId="0" fontId="25" fillId="28" borderId="34" xfId="0" applyFont="1" applyFill="1" applyBorder="1" applyAlignment="1">
      <alignment horizontal="center" vertical="center"/>
    </xf>
    <xf numFmtId="0" fontId="25" fillId="28" borderId="33" xfId="0" applyFont="1" applyFill="1" applyBorder="1" applyAlignment="1">
      <alignment horizontal="center" vertical="center"/>
    </xf>
    <xf numFmtId="0" fontId="25" fillId="28" borderId="32" xfId="0" applyFont="1" applyFill="1" applyBorder="1" applyAlignment="1">
      <alignment horizontal="center" vertical="center"/>
    </xf>
    <xf numFmtId="0" fontId="29" fillId="28" borderId="34" xfId="0" applyFont="1" applyFill="1" applyBorder="1" applyAlignment="1">
      <alignment horizontal="center" vertical="center" wrapText="1"/>
    </xf>
    <xf numFmtId="0" fontId="29" fillId="28" borderId="33" xfId="0" applyFont="1" applyFill="1" applyBorder="1" applyAlignment="1">
      <alignment horizontal="center" vertical="center" wrapText="1"/>
    </xf>
    <xf numFmtId="0" fontId="29" fillId="28" borderId="32" xfId="0" applyFont="1" applyFill="1" applyBorder="1" applyAlignment="1">
      <alignment horizontal="center" vertical="center" wrapText="1"/>
    </xf>
    <xf numFmtId="0" fontId="40" fillId="28" borderId="34" xfId="0" applyFont="1" applyFill="1" applyBorder="1" applyAlignment="1">
      <alignment horizontal="center" vertical="center" wrapText="1"/>
    </xf>
    <xf numFmtId="0" fontId="40" fillId="28" borderId="32" xfId="0" applyFont="1" applyFill="1" applyBorder="1" applyAlignment="1">
      <alignment horizontal="center" vertical="center" wrapText="1"/>
    </xf>
    <xf numFmtId="164" fontId="32" fillId="6" borderId="34" xfId="0" applyNumberFormat="1" applyFont="1" applyFill="1" applyBorder="1" applyAlignment="1" applyProtection="1">
      <alignment horizontal="center" vertical="center"/>
      <protection locked="0"/>
    </xf>
    <xf numFmtId="164" fontId="32" fillId="6" borderId="33" xfId="0" applyNumberFormat="1" applyFont="1" applyFill="1" applyBorder="1" applyAlignment="1" applyProtection="1">
      <alignment horizontal="center" vertical="center"/>
      <protection locked="0"/>
    </xf>
    <xf numFmtId="164" fontId="32" fillId="6" borderId="32" xfId="0" applyNumberFormat="1" applyFont="1" applyFill="1" applyBorder="1" applyAlignment="1" applyProtection="1">
      <alignment horizontal="center" vertical="center"/>
      <protection locked="0"/>
    </xf>
    <xf numFmtId="0" fontId="15" fillId="6" borderId="34" xfId="0" applyFont="1" applyFill="1" applyBorder="1" applyAlignment="1" applyProtection="1">
      <alignment horizontal="center" vertical="center"/>
      <protection locked="0"/>
    </xf>
    <xf numFmtId="0" fontId="15" fillId="6" borderId="32" xfId="0" applyFont="1" applyFill="1" applyBorder="1" applyAlignment="1" applyProtection="1">
      <alignment horizontal="center" vertical="center"/>
      <protection locked="0"/>
    </xf>
    <xf numFmtId="164" fontId="32" fillId="3" borderId="34" xfId="0" applyNumberFormat="1" applyFont="1" applyFill="1" applyBorder="1" applyAlignment="1">
      <alignment horizontal="center" vertical="center"/>
    </xf>
    <xf numFmtId="164" fontId="32" fillId="3" borderId="32" xfId="0" applyNumberFormat="1" applyFont="1" applyFill="1" applyBorder="1" applyAlignment="1">
      <alignment horizontal="center" vertical="center"/>
    </xf>
    <xf numFmtId="0" fontId="32" fillId="6" borderId="33" xfId="0" applyFont="1" applyFill="1" applyBorder="1" applyAlignment="1" applyProtection="1">
      <alignment horizontal="center" vertical="center"/>
      <protection locked="0"/>
    </xf>
    <xf numFmtId="164" fontId="15" fillId="6" borderId="34" xfId="0" applyNumberFormat="1" applyFont="1" applyFill="1" applyBorder="1" applyAlignment="1" applyProtection="1">
      <alignment horizontal="center" vertical="center"/>
      <protection locked="0"/>
    </xf>
    <xf numFmtId="164" fontId="15" fillId="6" borderId="32" xfId="0" applyNumberFormat="1" applyFont="1" applyFill="1" applyBorder="1" applyAlignment="1" applyProtection="1">
      <alignment horizontal="center" vertical="center"/>
      <protection locked="0"/>
    </xf>
    <xf numFmtId="0" fontId="25" fillId="28" borderId="31" xfId="0" applyFont="1" applyFill="1" applyBorder="1" applyAlignment="1">
      <alignment horizontal="center" vertical="center"/>
    </xf>
    <xf numFmtId="0" fontId="13" fillId="28" borderId="34" xfId="0" applyFont="1" applyFill="1" applyBorder="1" applyAlignment="1">
      <alignment horizontal="center" vertical="center" wrapText="1"/>
    </xf>
    <xf numFmtId="0" fontId="13" fillId="28" borderId="31" xfId="0" applyFont="1" applyFill="1" applyBorder="1" applyAlignment="1">
      <alignment horizontal="center" vertical="center"/>
    </xf>
    <xf numFmtId="0" fontId="34" fillId="56" borderId="39" xfId="0" applyFont="1" applyFill="1" applyBorder="1" applyAlignment="1">
      <alignment horizontal="center" vertical="center"/>
    </xf>
    <xf numFmtId="0" fontId="34" fillId="56" borderId="38" xfId="0" applyFont="1" applyFill="1" applyBorder="1" applyAlignment="1">
      <alignment horizontal="center" vertical="center"/>
    </xf>
    <xf numFmtId="0" fontId="34" fillId="56" borderId="37" xfId="0" applyFont="1" applyFill="1" applyBorder="1" applyAlignment="1">
      <alignment horizontal="center" vertical="center"/>
    </xf>
    <xf numFmtId="0" fontId="34" fillId="56" borderId="36" xfId="0" applyFont="1" applyFill="1" applyBorder="1" applyAlignment="1">
      <alignment horizontal="center" vertical="center"/>
    </xf>
    <xf numFmtId="0" fontId="34" fillId="56" borderId="12" xfId="0" applyFont="1" applyFill="1" applyBorder="1" applyAlignment="1">
      <alignment horizontal="center" vertical="center"/>
    </xf>
    <xf numFmtId="0" fontId="34" fillId="56" borderId="35" xfId="0" applyFont="1" applyFill="1" applyBorder="1" applyAlignment="1">
      <alignment horizontal="center" vertical="center"/>
    </xf>
    <xf numFmtId="9" fontId="32" fillId="6" borderId="34" xfId="2" applyFont="1" applyFill="1" applyBorder="1" applyAlignment="1" applyProtection="1">
      <alignment horizontal="center" vertical="center"/>
      <protection locked="0"/>
    </xf>
    <xf numFmtId="9" fontId="32" fillId="6" borderId="32" xfId="2" applyFont="1" applyFill="1" applyBorder="1" applyAlignment="1" applyProtection="1">
      <alignment horizontal="center" vertical="center"/>
      <protection locked="0"/>
    </xf>
    <xf numFmtId="9" fontId="32" fillId="4" borderId="34" xfId="2" applyFont="1" applyFill="1" applyBorder="1" applyAlignment="1" applyProtection="1">
      <alignment horizontal="center" vertical="center"/>
    </xf>
    <xf numFmtId="9" fontId="32" fillId="4" borderId="32" xfId="2" applyFont="1" applyFill="1" applyBorder="1" applyAlignment="1" applyProtection="1">
      <alignment horizontal="center" vertical="center"/>
    </xf>
    <xf numFmtId="164" fontId="32" fillId="4" borderId="34" xfId="0" applyNumberFormat="1" applyFont="1" applyFill="1" applyBorder="1" applyAlignment="1">
      <alignment horizontal="center" vertical="center"/>
    </xf>
    <xf numFmtId="164" fontId="32" fillId="4" borderId="32" xfId="0" applyNumberFormat="1" applyFont="1" applyFill="1" applyBorder="1" applyAlignment="1">
      <alignment horizontal="center" vertical="center"/>
    </xf>
    <xf numFmtId="0" fontId="32" fillId="51" borderId="34" xfId="0" applyFont="1" applyFill="1" applyBorder="1" applyAlignment="1">
      <alignment horizontal="center" vertical="center"/>
    </xf>
    <xf numFmtId="0" fontId="32" fillId="51" borderId="33" xfId="0" applyFont="1" applyFill="1" applyBorder="1" applyAlignment="1">
      <alignment horizontal="center" vertical="center"/>
    </xf>
    <xf numFmtId="0" fontId="32" fillId="51" borderId="32" xfId="0" applyFont="1" applyFill="1" applyBorder="1" applyAlignment="1">
      <alignment horizontal="center" vertical="center"/>
    </xf>
    <xf numFmtId="9" fontId="32" fillId="4" borderId="31" xfId="2" applyFont="1" applyFill="1" applyBorder="1" applyAlignment="1" applyProtection="1">
      <alignment horizontal="center" vertical="center"/>
    </xf>
    <xf numFmtId="0" fontId="13" fillId="28" borderId="31" xfId="0" applyFont="1" applyFill="1" applyBorder="1" applyAlignment="1">
      <alignment horizontal="center" vertical="center" wrapText="1"/>
    </xf>
    <xf numFmtId="0" fontId="33" fillId="32" borderId="34" xfId="0" applyFont="1" applyFill="1" applyBorder="1" applyAlignment="1">
      <alignment horizontal="center" vertical="center"/>
    </xf>
    <xf numFmtId="0" fontId="33" fillId="32" borderId="33" xfId="0" applyFont="1" applyFill="1" applyBorder="1" applyAlignment="1">
      <alignment horizontal="center" vertical="center"/>
    </xf>
    <xf numFmtId="0" fontId="33" fillId="32" borderId="32" xfId="0" applyFont="1" applyFill="1" applyBorder="1" applyAlignment="1">
      <alignment horizontal="center" vertical="center"/>
    </xf>
    <xf numFmtId="0" fontId="4" fillId="28" borderId="34" xfId="0" applyFont="1" applyFill="1" applyBorder="1" applyAlignment="1">
      <alignment horizontal="center" vertical="center" wrapText="1"/>
    </xf>
    <xf numFmtId="0" fontId="4" fillId="28" borderId="32" xfId="0" applyFont="1" applyFill="1" applyBorder="1" applyAlignment="1">
      <alignment horizontal="center" vertical="center" wrapText="1"/>
    </xf>
    <xf numFmtId="0" fontId="25" fillId="28" borderId="34" xfId="0" applyFont="1" applyFill="1" applyBorder="1" applyAlignment="1">
      <alignment horizontal="center" vertical="center" wrapText="1"/>
    </xf>
    <xf numFmtId="0" fontId="25" fillId="28" borderId="32" xfId="0" applyFont="1" applyFill="1" applyBorder="1" applyAlignment="1">
      <alignment horizontal="center" vertical="center" wrapText="1"/>
    </xf>
    <xf numFmtId="0" fontId="35" fillId="53" borderId="0" xfId="0" applyFont="1" applyFill="1" applyAlignment="1">
      <alignment horizontal="center" vertical="center"/>
    </xf>
    <xf numFmtId="0" fontId="37" fillId="45" borderId="29" xfId="0" applyFont="1" applyFill="1" applyBorder="1" applyAlignment="1">
      <alignment horizontal="center" vertical="center"/>
    </xf>
    <xf numFmtId="0" fontId="38" fillId="31" borderId="0" xfId="0" applyFont="1" applyFill="1" applyAlignment="1">
      <alignment horizontal="center" vertical="center"/>
    </xf>
    <xf numFmtId="0" fontId="33" fillId="27" borderId="24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1" fillId="37" borderId="22" xfId="0" applyFont="1" applyFill="1" applyBorder="1" applyAlignment="1">
      <alignment horizontal="center" vertical="center"/>
    </xf>
    <xf numFmtId="0" fontId="21" fillId="37" borderId="27" xfId="0" applyFont="1" applyFill="1" applyBorder="1" applyAlignment="1">
      <alignment horizontal="center" vertical="center"/>
    </xf>
    <xf numFmtId="0" fontId="21" fillId="37" borderId="30" xfId="0" applyFont="1" applyFill="1" applyBorder="1" applyAlignment="1">
      <alignment horizontal="center" vertical="center"/>
    </xf>
    <xf numFmtId="0" fontId="6" fillId="48" borderId="18" xfId="0" applyFont="1" applyFill="1" applyBorder="1" applyAlignment="1" applyProtection="1">
      <alignment horizontal="center" vertical="center"/>
      <protection locked="0"/>
    </xf>
    <xf numFmtId="0" fontId="6" fillId="48" borderId="17" xfId="0" applyFont="1" applyFill="1" applyBorder="1" applyAlignment="1" applyProtection="1">
      <alignment horizontal="center" vertical="center"/>
      <protection locked="0"/>
    </xf>
    <xf numFmtId="0" fontId="6" fillId="44" borderId="18" xfId="0" applyFont="1" applyFill="1" applyBorder="1" applyAlignment="1" applyProtection="1">
      <alignment horizontal="center" vertical="center"/>
      <protection locked="0"/>
    </xf>
    <xf numFmtId="0" fontId="6" fillId="44" borderId="17" xfId="0" applyFont="1" applyFill="1" applyBorder="1" applyAlignment="1" applyProtection="1">
      <alignment horizontal="center" vertical="center"/>
      <protection locked="0"/>
    </xf>
    <xf numFmtId="0" fontId="13" fillId="37" borderId="47" xfId="0" applyFont="1" applyFill="1" applyBorder="1" applyAlignment="1">
      <alignment horizontal="center" vertical="center" wrapText="1"/>
    </xf>
    <xf numFmtId="0" fontId="13" fillId="37" borderId="48" xfId="0" applyFont="1" applyFill="1" applyBorder="1" applyAlignment="1">
      <alignment horizontal="center" vertical="center" wrapText="1"/>
    </xf>
    <xf numFmtId="164" fontId="6" fillId="21" borderId="14" xfId="0" applyNumberFormat="1" applyFont="1" applyFill="1" applyBorder="1" applyAlignment="1">
      <alignment horizontal="center" vertical="center"/>
    </xf>
    <xf numFmtId="164" fontId="6" fillId="21" borderId="15" xfId="0" applyNumberFormat="1" applyFont="1" applyFill="1" applyBorder="1" applyAlignment="1">
      <alignment horizontal="center" vertical="center"/>
    </xf>
    <xf numFmtId="164" fontId="6" fillId="39" borderId="18" xfId="0" applyNumberFormat="1" applyFont="1" applyFill="1" applyBorder="1" applyAlignment="1">
      <alignment horizontal="center" vertical="center"/>
    </xf>
    <xf numFmtId="164" fontId="6" fillId="39" borderId="17" xfId="0" applyNumberFormat="1" applyFont="1" applyFill="1" applyBorder="1" applyAlignment="1">
      <alignment horizontal="center" vertical="center"/>
    </xf>
    <xf numFmtId="164" fontId="6" fillId="21" borderId="8" xfId="0" applyNumberFormat="1" applyFont="1" applyFill="1" applyBorder="1" applyAlignment="1">
      <alignment horizontal="center" vertical="center"/>
    </xf>
    <xf numFmtId="164" fontId="6" fillId="21" borderId="10" xfId="0" applyNumberFormat="1" applyFont="1" applyFill="1" applyBorder="1" applyAlignment="1">
      <alignment horizontal="center" vertical="center"/>
    </xf>
    <xf numFmtId="0" fontId="36" fillId="20" borderId="0" xfId="0" applyFont="1" applyFill="1" applyAlignment="1">
      <alignment horizontal="center" vertical="center"/>
    </xf>
    <xf numFmtId="164" fontId="26" fillId="30" borderId="11" xfId="2" applyNumberFormat="1" applyFont="1" applyFill="1" applyBorder="1" applyAlignment="1" applyProtection="1">
      <alignment horizontal="center" vertical="center"/>
      <protection locked="0"/>
    </xf>
    <xf numFmtId="172" fontId="24" fillId="40" borderId="13" xfId="0" applyNumberFormat="1" applyFont="1" applyFill="1" applyBorder="1" applyAlignment="1">
      <alignment horizontal="center" vertical="center"/>
    </xf>
    <xf numFmtId="172" fontId="24" fillId="40" borderId="22" xfId="0" applyNumberFormat="1" applyFont="1" applyFill="1" applyBorder="1" applyAlignment="1">
      <alignment horizontal="center" vertical="center"/>
    </xf>
  </cellXfs>
  <cellStyles count="14">
    <cellStyle name="60% - Ênfase1" xfId="5" builtinId="32"/>
    <cellStyle name="60% - Ênfase2" xfId="7" builtinId="36"/>
    <cellStyle name="60% - Ênfase3" xfId="9" builtinId="40"/>
    <cellStyle name="60% - Ênfase6" xfId="12" builtinId="52"/>
    <cellStyle name="Ênfase1" xfId="4" builtinId="29"/>
    <cellStyle name="Ênfase2" xfId="6" builtinId="33"/>
    <cellStyle name="Ênfase3" xfId="8" builtinId="37"/>
    <cellStyle name="Ênfase4" xfId="10" builtinId="41"/>
    <cellStyle name="Ênfase6" xfId="11" builtinId="49"/>
    <cellStyle name="Moeda" xfId="13" builtinId="4"/>
    <cellStyle name="Normal" xfId="0" builtinId="0"/>
    <cellStyle name="Porcentagem" xfId="2" builtinId="5"/>
    <cellStyle name="Saída" xfId="3" builtinId="21"/>
    <cellStyle name="Vírgula" xfId="1" builtinId="3"/>
  </cellStyles>
  <dxfs count="8"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4" formatCode="0\ &quot;Hora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9" defaultPivotStyle="PivotStyleLight16"/>
  <colors>
    <mruColors>
      <color rgb="FFC0504D"/>
      <color rgb="FFFEF6F0"/>
      <color rgb="FFFCE2CC"/>
      <color rgb="FFFEF2E8"/>
      <color rgb="FFEFDCB7"/>
      <color rgb="FFFF928F"/>
      <color rgb="FF00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Servi&#231;os Accerte'!A1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Servi&#231;os Accerte'!A1"/><Relationship Id="rId2" Type="http://schemas.openxmlformats.org/officeDocument/2006/relationships/hyperlink" Target="#Produtos!A1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828675</xdr:colOff>
      <xdr:row>2</xdr:row>
      <xdr:rowOff>85725</xdr:rowOff>
    </xdr:to>
    <xdr:sp macro="" textlink="#REF!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2925425" cy="4667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E16AE44-CECA-4565-95C8-A3899D36DD66}" type="TxLink">
            <a:rPr lang="en-US" sz="2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Resumo de Preços</a:t>
          </a:fld>
          <a:r>
            <a:rPr lang="en-US" sz="2400" b="1" i="0" u="none" strike="noStrike">
              <a:solidFill>
                <a:schemeClr val="bg1"/>
              </a:solidFill>
              <a:latin typeface="Calibri"/>
              <a:cs typeface="Calibri"/>
            </a:rPr>
            <a:t> </a:t>
          </a:r>
          <a:endParaRPr lang="pt-BR" sz="4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3417</xdr:colOff>
      <xdr:row>3</xdr:row>
      <xdr:rowOff>117842</xdr:rowOff>
    </xdr:from>
    <xdr:to>
      <xdr:col>2</xdr:col>
      <xdr:colOff>3417</xdr:colOff>
      <xdr:row>17</xdr:row>
      <xdr:rowOff>109782</xdr:rowOff>
    </xdr:to>
    <xdr:grpSp>
      <xdr:nvGrpSpPr>
        <xdr:cNvPr id="116" name="Grupo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GrpSpPr/>
      </xdr:nvGrpSpPr>
      <xdr:grpSpPr>
        <a:xfrm>
          <a:off x="5375517" y="1133842"/>
          <a:ext cx="0" cy="3268540"/>
          <a:chOff x="4208705" y="729029"/>
          <a:chExt cx="441083" cy="2881190"/>
        </a:xfrm>
      </xdr:grpSpPr>
      <xdr:cxnSp macro="">
        <xdr:nvCxnSpPr>
          <xdr:cNvPr id="117" name="Conector de seta reta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18" name="Conector de seta reta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19" name="Conector de seta reta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0" name="Conector de seta reta 119">
            <a:extLst>
              <a:ext uri="{FF2B5EF4-FFF2-40B4-BE49-F238E27FC236}">
                <a16:creationId xmlns:a16="http://schemas.microsoft.com/office/drawing/2014/main" id="{00000000-0008-0000-0100-000078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21" name="Conector de seta reta 120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22" name="Conector de seta reta 12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23" name="Conector de seta reta 122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24" name="Conector de seta reta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337" name="Button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1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0338" name="Button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1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340" name="Button 10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1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0341" name="Button 101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00000000-0008-0000-0100-00006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0342" name="Button 102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00000000-0008-0000-0100-00006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343" name="Button 103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0000000-0008-0000-0100-00006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0344" name="Button 104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1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0345" name="Button 105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1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346" name="Button 106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1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0347" name="Button 107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1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0348" name="Button 108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00000000-0008-0000-0100-00006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0349" name="Button 109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00000000-0008-0000-0100-00006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0350" name="Button 110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00000000-0008-0000-0100-00006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0351" name="Button 111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00000000-0008-0000-0100-00006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0352" name="Button 112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00000000-0008-0000-0100-00007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0353" name="Button 113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00000000-0008-0000-0100-00007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0354" name="Button 114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00000000-0008-0000-0100-00007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10355" name="Button 115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00000000-0008-0000-0100-00007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0356" name="Button 116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00000000-0008-0000-0100-00007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0357" name="Button 117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00000000-0008-0000-0100-00007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0358" name="Button 118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0000000-0008-0000-0100-00007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0359" name="Button 119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00000000-0008-0000-0100-00007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0360" name="Button 120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00000000-0008-0000-0100-00007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0361" name="Button 121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00000000-0008-0000-0100-00007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0362" name="Button 122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0000000-0008-0000-0100-00007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0363" name="Button 123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00000000-0008-0000-0100-00007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10364" name="Button 124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00000000-0008-0000-0100-00007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0365" name="Button 125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00000000-0008-0000-0100-00007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0366" name="Button 126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00000000-0008-0000-0100-00007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0367" name="Button 127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00000000-0008-0000-0100-00007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0368" name="Button 128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00000000-0008-0000-0100-00008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0369" name="Button 129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00000000-0008-0000-0100-00008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0370" name="Button 130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00000000-0008-0000-0100-00008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0371" name="Button 131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00000000-0008-0000-0100-00008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0372" name="Button 132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00000000-0008-0000-0100-00008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373" name="Button 133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1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00000000-0008-0000-0100-00008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0375" name="Button 135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00000000-0008-0000-0100-00008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0376" name="Button 136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00000000-0008-0000-0100-00008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0377" name="Button 137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00000000-0008-0000-0100-00008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0378" name="Button 138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00000000-0008-0000-0100-00008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0379" name="Button 139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00000000-0008-0000-0100-00008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0380" name="Button 140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00000000-0008-0000-0100-00008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0381" name="Button 141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00000000-0008-0000-0100-00008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10382" name="Button 142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00000000-0008-0000-0100-00008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0383" name="Button 143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0000000-0008-0000-0100-00008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0384" name="Button 144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00000000-0008-0000-0100-00009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3417</xdr:colOff>
      <xdr:row>3</xdr:row>
      <xdr:rowOff>117842</xdr:rowOff>
    </xdr:from>
    <xdr:to>
      <xdr:col>2</xdr:col>
      <xdr:colOff>3417</xdr:colOff>
      <xdr:row>17</xdr:row>
      <xdr:rowOff>109782</xdr:rowOff>
    </xdr:to>
    <xdr:grpSp>
      <xdr:nvGrpSpPr>
        <xdr:cNvPr id="2" name="Grupo 11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375517" y="1133842"/>
          <a:ext cx="0" cy="3268540"/>
          <a:chOff x="4208705" y="729029"/>
          <a:chExt cx="441083" cy="2881190"/>
        </a:xfrm>
      </xdr:grpSpPr>
      <xdr:cxnSp macro="">
        <xdr:nvCxnSpPr>
          <xdr:cNvPr id="3" name="Conector de seta reta 116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" name="Conector de seta reta 117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" name="Conector de seta reta 118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" name="Conector de seta reta 119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" name="Conector de seta reta 120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8" name="Conector de seta reta 12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9" name="Conector de seta reta 1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Conector de seta reta 123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9733" name="Button 37" hidden="1">
              <a:extLst>
                <a:ext uri="{63B3BB69-23CF-44E3-9099-C40C66FF867C}">
                  <a14:compatExt spid="_x0000_s29733"/>
                </a:ext>
                <a:ext uri="{FF2B5EF4-FFF2-40B4-BE49-F238E27FC236}">
                  <a16:creationId xmlns:a16="http://schemas.microsoft.com/office/drawing/2014/main" id="{00000000-0008-0000-0200-00002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9734" name="Button 38" hidden="1">
              <a:extLst>
                <a:ext uri="{63B3BB69-23CF-44E3-9099-C40C66FF867C}">
                  <a14:compatExt spid="_x0000_s29734"/>
                </a:ext>
                <a:ext uri="{FF2B5EF4-FFF2-40B4-BE49-F238E27FC236}">
                  <a16:creationId xmlns:a16="http://schemas.microsoft.com/office/drawing/2014/main" id="{00000000-0008-0000-0200-00002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9735" name="Butto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2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9736" name="Butto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2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9737" name="Butto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2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9738" name="Butto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2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9739" name="Butto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2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9740" name="Butto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2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9741" name="Button 45" hidden="1">
              <a:extLst>
                <a:ext uri="{63B3BB69-23CF-44E3-9099-C40C66FF867C}">
                  <a14:compatExt spid="_x0000_s29741"/>
                </a:ext>
                <a:ext uri="{FF2B5EF4-FFF2-40B4-BE49-F238E27FC236}">
                  <a16:creationId xmlns:a16="http://schemas.microsoft.com/office/drawing/2014/main" id="{00000000-0008-0000-0200-00002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29742" name="Button 46" hidden="1">
              <a:extLst>
                <a:ext uri="{63B3BB69-23CF-44E3-9099-C40C66FF867C}">
                  <a14:compatExt spid="_x0000_s29742"/>
                </a:ext>
                <a:ext uri="{FF2B5EF4-FFF2-40B4-BE49-F238E27FC236}">
                  <a16:creationId xmlns:a16="http://schemas.microsoft.com/office/drawing/2014/main" id="{00000000-0008-0000-0200-00002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9743" name="Butto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2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9744" name="Butto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2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3417</xdr:colOff>
      <xdr:row>3</xdr:row>
      <xdr:rowOff>117842</xdr:rowOff>
    </xdr:from>
    <xdr:to>
      <xdr:col>2</xdr:col>
      <xdr:colOff>3417</xdr:colOff>
      <xdr:row>17</xdr:row>
      <xdr:rowOff>109782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5380960" y="901613"/>
          <a:ext cx="0" cy="2288826"/>
          <a:chOff x="4208705" y="729029"/>
          <a:chExt cx="441083" cy="2881190"/>
        </a:xfrm>
      </xdr:grpSpPr>
      <xdr:cxnSp macro="">
        <xdr:nvCxnSpPr>
          <xdr:cNvPr id="3" name="Conector de seta reta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" name="Conector de seta reta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" name="Conector de seta reta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" name="Conector de seta reta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" name="Conector de seta reta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8" name="Conector de seta reta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9" name="Conector de seta reta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3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3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3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3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3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3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3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3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3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3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3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3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3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3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3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3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3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3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3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3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3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3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3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3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3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3417</xdr:colOff>
      <xdr:row>3</xdr:row>
      <xdr:rowOff>117842</xdr:rowOff>
    </xdr:from>
    <xdr:to>
      <xdr:col>2</xdr:col>
      <xdr:colOff>3417</xdr:colOff>
      <xdr:row>17</xdr:row>
      <xdr:rowOff>109782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5380960" y="738328"/>
          <a:ext cx="0" cy="2288825"/>
          <a:chOff x="4208705" y="729029"/>
          <a:chExt cx="441083" cy="2881190"/>
        </a:xfrm>
      </xdr:grpSpPr>
      <xdr:cxnSp macro="">
        <xdr:nvCxnSpPr>
          <xdr:cNvPr id="3" name="Conector de seta reta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" name="Conector de seta reta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" name="Conector de seta reta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" name="Conector de seta reta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" name="Conector de seta re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8" name="Conector de seta reta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9" name="Conector de seta reta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4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4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4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4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4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4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4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4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4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4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4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4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4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4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4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1527" name="Button 23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4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1528" name="Button 24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4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1529" name="Button 25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4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1530" name="Button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4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1531" name="Button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4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4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1533" name="Button 29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4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1534" name="Button 30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4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1535" name="Button 31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4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1536" name="Button 32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4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1537" name="Button 33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4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1538" name="Button 34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4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1539" name="Button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4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1540" name="Button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4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1541" name="Button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4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1542" name="Button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4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1543" name="Button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4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1544" name="Button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4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1545" name="Button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4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1546" name="Button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4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1547" name="Button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4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1548" name="Button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4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1549" name="Button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4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21550" name="Button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4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1551" name="Button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4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1552" name="Button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4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2176705</xdr:colOff>
      <xdr:row>3</xdr:row>
      <xdr:rowOff>87314</xdr:rowOff>
    </xdr:from>
    <xdr:to>
      <xdr:col>1</xdr:col>
      <xdr:colOff>2617788</xdr:colOff>
      <xdr:row>17</xdr:row>
      <xdr:rowOff>141533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4854591" y="544514"/>
          <a:ext cx="441083" cy="3254619"/>
          <a:chOff x="4208705" y="729029"/>
          <a:chExt cx="441083" cy="2881190"/>
        </a:xfrm>
      </xdr:grpSpPr>
      <xdr:cxnSp macro="">
        <xdr:nvCxnSpPr>
          <xdr:cNvPr id="3" name="Conector de seta ret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2" name="Conector de seta reta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3" name="Conector de seta reta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4" name="Conector de seta reta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35" name="Conector de seta reta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36" name="Conector de seta reta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37" name="Conector de seta reta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38" name="Conector de seta reta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7170" name="Button 1026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7174" name="Button 1030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7179" name="Button 1035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5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7184" name="Button 1040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5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7185" name="Button 104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5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7186" name="Button 104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5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7187" name="Button 1043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5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7188" name="Button 1044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5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7189" name="Button 1045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5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7190" name="Button 1046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5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7191" name="Button 1047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5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7192" name="Button 1048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5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7209" name="Button 1065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5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7210" name="Button 1066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5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7212" name="Button 1068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5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7213" name="Button 1069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5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7215" name="Button 1071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5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7216" name="Button 1072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5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7217" name="Button 1073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5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7218" name="Button 1074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5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7219" name="Button 1075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5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7221" name="Button 1077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5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7222" name="Button 1078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5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7224" name="Button 1080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5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7225" name="Button 1081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5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7227" name="Button 1083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5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7228" name="Button 1084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5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7229" name="Button 1085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5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7230" name="Button 1086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5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7231" name="Button 1087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5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7233" name="Button 1089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5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7234" name="Button 1090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5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7236" name="Button 1092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5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7237" name="Button 1093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5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7239" name="Button 1095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5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7240" name="Button 1096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5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241" name="Button 1097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5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7242" name="Button 1098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5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7243" name="Button 1099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5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7245" name="Button 1101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5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7246" name="Button 1102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5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7248" name="Button 1104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5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7249" name="Button 1105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5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7251" name="Button 1107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5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7252" name="Button 1108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5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7253" name="Button 1109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5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7254" name="Button 1110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5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7255" name="Button 1111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5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2089392</xdr:colOff>
      <xdr:row>3</xdr:row>
      <xdr:rowOff>117842</xdr:rowOff>
    </xdr:from>
    <xdr:to>
      <xdr:col>1</xdr:col>
      <xdr:colOff>2530475</xdr:colOff>
      <xdr:row>17</xdr:row>
      <xdr:rowOff>109782</xdr:rowOff>
    </xdr:to>
    <xdr:grpSp>
      <xdr:nvGrpSpPr>
        <xdr:cNvPr id="2" name="Grupo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4767278" y="575042"/>
          <a:ext cx="441083" cy="3192340"/>
          <a:chOff x="4208705" y="729029"/>
          <a:chExt cx="441083" cy="2881190"/>
        </a:xfrm>
      </xdr:grpSpPr>
      <xdr:cxnSp macro="">
        <xdr:nvCxnSpPr>
          <xdr:cNvPr id="3" name="Conector de seta reta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CxnSpPr/>
        </xdr:nvCxnSpPr>
        <xdr:spPr>
          <a:xfrm>
            <a:off x="4230688" y="7290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" name="Conector de seta reta 31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CxnSpPr/>
        </xdr:nvCxnSpPr>
        <xdr:spPr>
          <a:xfrm>
            <a:off x="4229222" y="93393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" name="Conector de seta reta 32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227756" y="133056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" name="Conector de seta reta 33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4218964" y="1948229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" name="Conector de seta reta 3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217498" y="236684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8" name="Conector de seta reta 35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CxnSpPr/>
        </xdr:nvCxnSpPr>
        <xdr:spPr>
          <a:xfrm>
            <a:off x="4208705" y="2778125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9" name="Conector de seta reta 36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214566" y="3196736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Conector de seta reta 37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CxnSpPr/>
        </xdr:nvCxnSpPr>
        <xdr:spPr>
          <a:xfrm>
            <a:off x="4213102" y="3608021"/>
            <a:ext cx="419100" cy="219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3"/>
          </a:lnRef>
          <a:fillRef idx="0">
            <a:schemeClr val="accent3"/>
          </a:fillRef>
          <a:effectRef idx="1">
            <a:schemeClr val="accent3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6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6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6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6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6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6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23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6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7620</xdr:rowOff>
        </xdr:from>
        <xdr:to>
          <xdr:col>4</xdr:col>
          <xdr:colOff>251460</xdr:colOff>
          <xdr:row>23</xdr:row>
          <xdr:rowOff>0</xdr:rowOff>
        </xdr:to>
        <xdr:sp macro="" textlink="">
          <xdr:nvSpPr>
            <xdr:cNvPr id="20491" name="Button 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6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7620</xdr:colOff>
          <xdr:row>23</xdr:row>
          <xdr:rowOff>0</xdr:rowOff>
        </xdr:to>
        <xdr:sp macro="" textlink="">
          <xdr:nvSpPr>
            <xdr:cNvPr id="20492" name="Button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6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0493" name="Button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6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6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0495" name="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6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0496" name="Button 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6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0497" name="Button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6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0498" name="Button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06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23</xdr:row>
          <xdr:rowOff>7620</xdr:rowOff>
        </xdr:from>
        <xdr:to>
          <xdr:col>7</xdr:col>
          <xdr:colOff>0</xdr:colOff>
          <xdr:row>24</xdr:row>
          <xdr:rowOff>22860</xdr:rowOff>
        </xdr:to>
        <xdr:sp macro="" textlink="">
          <xdr:nvSpPr>
            <xdr:cNvPr id="20499" name="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6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7620</xdr:rowOff>
        </xdr:from>
        <xdr:to>
          <xdr:col>7</xdr:col>
          <xdr:colOff>251460</xdr:colOff>
          <xdr:row>23</xdr:row>
          <xdr:rowOff>0</xdr:rowOff>
        </xdr:to>
        <xdr:sp macro="" textlink="">
          <xdr:nvSpPr>
            <xdr:cNvPr id="20500" name="Button 20" hidden="1">
              <a:extLst>
                <a:ext uri="{63B3BB69-23CF-44E3-9099-C40C66FF867C}">
                  <a14:compatExt spid="_x0000_s20500"/>
                </a:ext>
                <a:ext uri="{FF2B5EF4-FFF2-40B4-BE49-F238E27FC236}">
                  <a16:creationId xmlns:a16="http://schemas.microsoft.com/office/drawing/2014/main" id="{00000000-0008-0000-0600-00001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7620</xdr:colOff>
          <xdr:row>23</xdr:row>
          <xdr:rowOff>0</xdr:rowOff>
        </xdr:to>
        <xdr:sp macro="" textlink="">
          <xdr:nvSpPr>
            <xdr:cNvPr id="20501" name="Button 21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06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0502" name="Button 22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00000000-0008-0000-0600-00001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0503" name="Button 23" hidden="1">
              <a:extLst>
                <a:ext uri="{63B3BB69-23CF-44E3-9099-C40C66FF867C}">
                  <a14:compatExt spid="_x0000_s20503"/>
                </a:ext>
                <a:ext uri="{FF2B5EF4-FFF2-40B4-BE49-F238E27FC236}">
                  <a16:creationId xmlns:a16="http://schemas.microsoft.com/office/drawing/2014/main" id="{00000000-0008-0000-0600-00001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0504" name="Button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6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0505" name="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6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0506" name="Button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6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0507" name="Button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6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23</xdr:row>
          <xdr:rowOff>7620</xdr:rowOff>
        </xdr:from>
        <xdr:to>
          <xdr:col>10</xdr:col>
          <xdr:colOff>0</xdr:colOff>
          <xdr:row>24</xdr:row>
          <xdr:rowOff>7620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6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7620</xdr:rowOff>
        </xdr:from>
        <xdr:to>
          <xdr:col>10</xdr:col>
          <xdr:colOff>251460</xdr:colOff>
          <xdr:row>23</xdr:row>
          <xdr:rowOff>0</xdr:rowOff>
        </xdr:to>
        <xdr:sp macro="" textlink="">
          <xdr:nvSpPr>
            <xdr:cNvPr id="20509" name="Button 29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6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9</xdr:col>
          <xdr:colOff>7620</xdr:colOff>
          <xdr:row>23</xdr:row>
          <xdr:rowOff>0</xdr:rowOff>
        </xdr:to>
        <xdr:sp macro="" textlink="">
          <xdr:nvSpPr>
            <xdr:cNvPr id="20510" name="Button 30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6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0511" name="Button 31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6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0512" name="Button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6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0513" name="Button 33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6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0514" name="Button 34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6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0515" name="Button 35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6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0516" name="Button 36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6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7620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0517" name="Button 37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6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7620</xdr:rowOff>
        </xdr:from>
        <xdr:to>
          <xdr:col>13</xdr:col>
          <xdr:colOff>251460</xdr:colOff>
          <xdr:row>23</xdr:row>
          <xdr:rowOff>0</xdr:rowOff>
        </xdr:to>
        <xdr:sp macro="" textlink="">
          <xdr:nvSpPr>
            <xdr:cNvPr id="20518" name="Button 38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6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0</xdr:rowOff>
        </xdr:to>
        <xdr:sp macro="" textlink="">
          <xdr:nvSpPr>
            <xdr:cNvPr id="20519" name="Button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6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0520" name="Button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6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0521" name="Button 41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6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0522" name="Button 42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6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0523" name="Button 43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6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0524" name="Button 44" hidden="1">
              <a:extLst>
                <a:ext uri="{63B3BB69-23CF-44E3-9099-C40C66FF867C}">
                  <a14:compatExt spid="_x0000_s20524"/>
                </a:ext>
                <a:ext uri="{FF2B5EF4-FFF2-40B4-BE49-F238E27FC236}">
                  <a16:creationId xmlns:a16="http://schemas.microsoft.com/office/drawing/2014/main" id="{00000000-0008-0000-0600-00002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0525" name="Button 45" hidden="1">
              <a:extLst>
                <a:ext uri="{63B3BB69-23CF-44E3-9099-C40C66FF867C}">
                  <a14:compatExt spid="_x0000_s20525"/>
                </a:ext>
                <a:ext uri="{FF2B5EF4-FFF2-40B4-BE49-F238E27FC236}">
                  <a16:creationId xmlns:a16="http://schemas.microsoft.com/office/drawing/2014/main" id="{00000000-0008-0000-0600-00002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23</xdr:row>
          <xdr:rowOff>7620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20526" name="Button 46" hidden="1">
              <a:extLst>
                <a:ext uri="{63B3BB69-23CF-44E3-9099-C40C66FF867C}">
                  <a14:compatExt spid="_x0000_s20526"/>
                </a:ext>
                <a:ext uri="{FF2B5EF4-FFF2-40B4-BE49-F238E27FC236}">
                  <a16:creationId xmlns:a16="http://schemas.microsoft.com/office/drawing/2014/main" id="{00000000-0008-0000-0600-00002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7620</xdr:rowOff>
        </xdr:from>
        <xdr:to>
          <xdr:col>16</xdr:col>
          <xdr:colOff>251460</xdr:colOff>
          <xdr:row>23</xdr:row>
          <xdr:rowOff>0</xdr:rowOff>
        </xdr:to>
        <xdr:sp macro="" textlink="">
          <xdr:nvSpPr>
            <xdr:cNvPr id="20527" name="Button 47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0000000-0008-0000-0600-00002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15</xdr:col>
          <xdr:colOff>7620</xdr:colOff>
          <xdr:row>23</xdr:row>
          <xdr:rowOff>0</xdr:rowOff>
        </xdr:to>
        <xdr:sp macro="" textlink="">
          <xdr:nvSpPr>
            <xdr:cNvPr id="20528" name="Button 48" hidden="1">
              <a:extLst>
                <a:ext uri="{63B3BB69-23CF-44E3-9099-C40C66FF867C}">
                  <a14:compatExt spid="_x0000_s20528"/>
                </a:ext>
                <a:ext uri="{FF2B5EF4-FFF2-40B4-BE49-F238E27FC236}">
                  <a16:creationId xmlns:a16="http://schemas.microsoft.com/office/drawing/2014/main" id="{00000000-0008-0000-0600-00003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107157</xdr:rowOff>
    </xdr:from>
    <xdr:to>
      <xdr:col>11</xdr:col>
      <xdr:colOff>1071563</xdr:colOff>
      <xdr:row>3</xdr:row>
      <xdr:rowOff>234462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107157"/>
          <a:ext cx="20341371" cy="6988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320041</xdr:colOff>
      <xdr:row>0</xdr:row>
      <xdr:rowOff>59532</xdr:rowOff>
    </xdr:from>
    <xdr:to>
      <xdr:col>10</xdr:col>
      <xdr:colOff>1309687</xdr:colOff>
      <xdr:row>4</xdr:row>
      <xdr:rowOff>10942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20041" y="59532"/>
          <a:ext cx="20115846" cy="811381"/>
          <a:chOff x="109169" y="50800"/>
          <a:chExt cx="15874004" cy="713410"/>
        </a:xfrm>
      </xdr:grpSpPr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4794290" y="50800"/>
            <a:ext cx="1188883" cy="678180"/>
          </a:xfrm>
          <a:prstGeom prst="rect">
            <a:avLst/>
          </a:prstGeom>
          <a:noFill/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169" y="64444"/>
            <a:ext cx="900137" cy="69976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1116782</xdr:colOff>
      <xdr:row>4</xdr:row>
      <xdr:rowOff>40968</xdr:rowOff>
    </xdr:from>
    <xdr:to>
      <xdr:col>1</xdr:col>
      <xdr:colOff>3021782</xdr:colOff>
      <xdr:row>4</xdr:row>
      <xdr:rowOff>358468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2118268" y="900939"/>
          <a:ext cx="1905000" cy="317500"/>
          <a:chOff x="1831157" y="802968"/>
          <a:chExt cx="1905000" cy="317500"/>
        </a:xfrm>
      </xdr:grpSpPr>
      <xdr:sp macro="[0]!Salva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831157" y="802968"/>
            <a:ext cx="1905000" cy="31750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2302297" y="805282"/>
            <a:ext cx="961289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oneCellAnchor>
    <xdr:from>
      <xdr:col>10</xdr:col>
      <xdr:colOff>912456</xdr:colOff>
      <xdr:row>3</xdr:row>
      <xdr:rowOff>204438</xdr:rowOff>
    </xdr:from>
    <xdr:ext cx="1060226" cy="468013"/>
    <xdr:sp macro="[0]!senha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8834110" y="775938"/>
          <a:ext cx="1060226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1">
                  <a:lumMod val="5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Edição</a:t>
          </a:r>
          <a:endParaRPr lang="pt-BR" sz="4800" b="1" cap="none" spc="50">
            <a:ln w="0"/>
            <a:solidFill>
              <a:schemeClr val="bg1">
                <a:lumMod val="50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4</xdr:col>
      <xdr:colOff>1554269</xdr:colOff>
      <xdr:row>1</xdr:row>
      <xdr:rowOff>28867</xdr:rowOff>
    </xdr:from>
    <xdr:ext cx="184730" cy="468013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3049694" y="219367"/>
          <a:ext cx="18473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180119</xdr:colOff>
      <xdr:row>0</xdr:row>
      <xdr:rowOff>176321</xdr:rowOff>
    </xdr:from>
    <xdr:to>
      <xdr:col>6</xdr:col>
      <xdr:colOff>636648</xdr:colOff>
      <xdr:row>3</xdr:row>
      <xdr:rowOff>135479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6862273" y="176321"/>
          <a:ext cx="6039644" cy="53065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Planilha de formação de preços Accerte </a:t>
          </a:r>
        </a:p>
      </xdr:txBody>
    </xdr:sp>
    <xdr:clientData/>
  </xdr:twoCellAnchor>
  <xdr:twoCellAnchor>
    <xdr:from>
      <xdr:col>0</xdr:col>
      <xdr:colOff>0</xdr:colOff>
      <xdr:row>5</xdr:row>
      <xdr:rowOff>15372</xdr:rowOff>
    </xdr:from>
    <xdr:to>
      <xdr:col>11</xdr:col>
      <xdr:colOff>1071563</xdr:colOff>
      <xdr:row>5</xdr:row>
      <xdr:rowOff>495298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0" y="1278115"/>
          <a:ext cx="21591134" cy="479926"/>
          <a:chOff x="0" y="1183772"/>
          <a:chExt cx="19219863" cy="479926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0" y="1199354"/>
            <a:ext cx="19219863" cy="464344"/>
          </a:xfrm>
          <a:prstGeom prst="rect">
            <a:avLst/>
          </a:prstGeom>
          <a:solidFill>
            <a:schemeClr val="bg2">
              <a:lumMod val="9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/>
        </xdr:nvSpPr>
        <xdr:spPr>
          <a:xfrm>
            <a:off x="7065245" y="1183772"/>
            <a:ext cx="4788619" cy="46801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chemeClr val="tx1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Serviços de consultoria avulso </a:t>
            </a:r>
          </a:p>
        </xdr:txBody>
      </xdr:sp>
    </xdr:grpSp>
    <xdr:clientData/>
  </xdr:twoCellAnchor>
  <xdr:twoCellAnchor>
    <xdr:from>
      <xdr:col>0</xdr:col>
      <xdr:colOff>0</xdr:colOff>
      <xdr:row>98</xdr:row>
      <xdr:rowOff>21722</xdr:rowOff>
    </xdr:from>
    <xdr:to>
      <xdr:col>11</xdr:col>
      <xdr:colOff>1062038</xdr:colOff>
      <xdr:row>99</xdr:row>
      <xdr:rowOff>288130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0" y="24569008"/>
          <a:ext cx="21581609" cy="462351"/>
          <a:chOff x="11906" y="555123"/>
          <a:chExt cx="20109657" cy="468814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1906" y="559593"/>
            <a:ext cx="20109657" cy="464344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9091192" y="555123"/>
            <a:ext cx="2261242" cy="46801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Quadro resumo </a:t>
            </a:r>
          </a:p>
        </xdr:txBody>
      </xdr:sp>
    </xdr:grpSp>
    <xdr:clientData/>
  </xdr:twoCellAnchor>
  <xdr:twoCellAnchor>
    <xdr:from>
      <xdr:col>0</xdr:col>
      <xdr:colOff>0</xdr:colOff>
      <xdr:row>25</xdr:row>
      <xdr:rowOff>30955</xdr:rowOff>
    </xdr:from>
    <xdr:to>
      <xdr:col>30</xdr:col>
      <xdr:colOff>11906</xdr:colOff>
      <xdr:row>26</xdr:row>
      <xdr:rowOff>7143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0" y="6674643"/>
          <a:ext cx="19490531" cy="178594"/>
        </a:xfrm>
        <a:prstGeom prst="round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67</xdr:row>
      <xdr:rowOff>16667</xdr:rowOff>
    </xdr:from>
    <xdr:to>
      <xdr:col>30</xdr:col>
      <xdr:colOff>11906</xdr:colOff>
      <xdr:row>67</xdr:row>
      <xdr:rowOff>195261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0" y="17316448"/>
          <a:ext cx="19228594" cy="178594"/>
        </a:xfrm>
        <a:prstGeom prst="round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108</xdr:row>
      <xdr:rowOff>1585</xdr:rowOff>
    </xdr:from>
    <xdr:to>
      <xdr:col>12</xdr:col>
      <xdr:colOff>11906</xdr:colOff>
      <xdr:row>108</xdr:row>
      <xdr:rowOff>180179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0" y="18480085"/>
          <a:ext cx="7327106" cy="17859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53</xdr:row>
      <xdr:rowOff>15374</xdr:rowOff>
    </xdr:from>
    <xdr:to>
      <xdr:col>11</xdr:col>
      <xdr:colOff>1071563</xdr:colOff>
      <xdr:row>53</xdr:row>
      <xdr:rowOff>520700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0" y="13709603"/>
          <a:ext cx="21591134" cy="505326"/>
          <a:chOff x="0" y="1183773"/>
          <a:chExt cx="19219863" cy="479925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0" y="1199354"/>
            <a:ext cx="19219863" cy="464344"/>
          </a:xfrm>
          <a:prstGeom prst="rect">
            <a:avLst/>
          </a:prstGeom>
          <a:solidFill>
            <a:schemeClr val="bg2">
              <a:lumMod val="9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>
            <a:off x="7065245" y="1183773"/>
            <a:ext cx="4788619" cy="38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chemeClr val="tx1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Serviços de sustentação</a:t>
            </a:r>
          </a:p>
        </xdr:txBody>
      </xdr:sp>
    </xdr:grpSp>
    <xdr:clientData/>
  </xdr:twoCellAnchor>
  <xdr:twoCellAnchor>
    <xdr:from>
      <xdr:col>8</xdr:col>
      <xdr:colOff>538369</xdr:colOff>
      <xdr:row>5</xdr:row>
      <xdr:rowOff>59807</xdr:rowOff>
    </xdr:from>
    <xdr:to>
      <xdr:col>9</xdr:col>
      <xdr:colOff>1228587</xdr:colOff>
      <xdr:row>5</xdr:row>
      <xdr:rowOff>469356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6573026" y="1322550"/>
          <a:ext cx="2203332" cy="409549"/>
          <a:chOff x="13668375" y="19896005"/>
          <a:chExt cx="2083594" cy="499401"/>
        </a:xfrm>
      </xdr:grpSpPr>
      <xdr:sp macro="[0]!senha_2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3668375" y="19907250"/>
            <a:ext cx="2083594" cy="488156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senha_2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3772579" y="19896005"/>
            <a:ext cx="1904817" cy="34278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6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Lista de precificação</a:t>
            </a:r>
            <a:endParaRPr lang="pt-BR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76200</xdr:rowOff>
    </xdr:from>
    <xdr:to>
      <xdr:col>3</xdr:col>
      <xdr:colOff>533400</xdr:colOff>
      <xdr:row>4</xdr:row>
      <xdr:rowOff>13966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200025" y="76200"/>
          <a:ext cx="2194832" cy="677995"/>
          <a:chOff x="200025" y="76200"/>
          <a:chExt cx="2162175" cy="699766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" y="76200"/>
            <a:ext cx="901701" cy="699766"/>
          </a:xfrm>
          <a:prstGeom prst="rect">
            <a:avLst/>
          </a:prstGeom>
        </xdr:spPr>
      </xdr:pic>
      <xdr:pic>
        <xdr:nvPicPr>
          <xdr:cNvPr id="3" name="image2.png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81100" y="85725"/>
            <a:ext cx="1181100" cy="67818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9525</xdr:colOff>
      <xdr:row>18</xdr:row>
      <xdr:rowOff>292100</xdr:rowOff>
    </xdr:from>
    <xdr:to>
      <xdr:col>7</xdr:col>
      <xdr:colOff>0</xdr:colOff>
      <xdr:row>20</xdr:row>
      <xdr:rowOff>6852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2491468" y="4015014"/>
          <a:ext cx="7142389" cy="346124"/>
          <a:chOff x="2466975" y="1498098"/>
          <a:chExt cx="7524750" cy="33070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466975" y="1533525"/>
            <a:ext cx="7524750" cy="295275"/>
          </a:xfrm>
          <a:prstGeom prst="rect">
            <a:avLst/>
          </a:prstGeom>
          <a:solidFill>
            <a:srgbClr val="00206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5429983" y="1498098"/>
            <a:ext cx="1674946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Serviços</a:t>
            </a:r>
            <a:r>
              <a:rPr lang="pt-BR" sz="14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revenda</a:t>
            </a:r>
            <a:endParaRPr lang="pt-BR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19050</xdr:colOff>
      <xdr:row>6</xdr:row>
      <xdr:rowOff>19048</xdr:rowOff>
    </xdr:from>
    <xdr:to>
      <xdr:col>7</xdr:col>
      <xdr:colOff>9525</xdr:colOff>
      <xdr:row>6</xdr:row>
      <xdr:rowOff>352423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2500993" y="1151162"/>
          <a:ext cx="7142389" cy="333375"/>
          <a:chOff x="2466975" y="1532016"/>
          <a:chExt cx="7524750" cy="296784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2466975" y="1533525"/>
            <a:ext cx="7524750" cy="295275"/>
          </a:xfrm>
          <a:prstGeom prst="rect">
            <a:avLst/>
          </a:prstGeom>
          <a:solidFill>
            <a:srgbClr val="00206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5378153" y="1532016"/>
            <a:ext cx="1819893" cy="27730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Produtos</a:t>
            </a:r>
            <a:r>
              <a:rPr lang="pt-BR" sz="14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/Hardware</a:t>
            </a:r>
            <a:endParaRPr lang="pt-BR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47625</xdr:colOff>
      <xdr:row>31</xdr:row>
      <xdr:rowOff>19050</xdr:rowOff>
    </xdr:from>
    <xdr:to>
      <xdr:col>6</xdr:col>
      <xdr:colOff>1800225</xdr:colOff>
      <xdr:row>31</xdr:row>
      <xdr:rowOff>340227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2529568" y="6583136"/>
          <a:ext cx="7021286" cy="321177"/>
          <a:chOff x="2533650" y="5165223"/>
          <a:chExt cx="7524750" cy="321177"/>
        </a:xfrm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2533650" y="5181600"/>
            <a:ext cx="7524750" cy="304800"/>
          </a:xfrm>
          <a:prstGeom prst="rect">
            <a:avLst/>
          </a:prstGeom>
          <a:solidFill>
            <a:srgbClr val="00206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5864157" y="5165223"/>
            <a:ext cx="730393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Licença</a:t>
            </a:r>
          </a:p>
        </xdr:txBody>
      </xdr:sp>
    </xdr:grpSp>
    <xdr:clientData/>
  </xdr:twoCellAnchor>
  <xdr:twoCellAnchor>
    <xdr:from>
      <xdr:col>4</xdr:col>
      <xdr:colOff>0</xdr:colOff>
      <xdr:row>3</xdr:row>
      <xdr:rowOff>133350</xdr:rowOff>
    </xdr:from>
    <xdr:to>
      <xdr:col>7</xdr:col>
      <xdr:colOff>19050</xdr:colOff>
      <xdr:row>6</xdr:row>
      <xdr:rowOff>20338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2481943" y="688521"/>
          <a:ext cx="7170964" cy="463931"/>
          <a:chOff x="2524125" y="164598"/>
          <a:chExt cx="7524750" cy="468013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2524125" y="238124"/>
            <a:ext cx="7524750" cy="36195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5025974" y="164598"/>
            <a:ext cx="2578206" cy="46801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Análise</a:t>
            </a:r>
            <a:r>
              <a:rPr lang="pt-BR" sz="24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financeira</a:t>
            </a:r>
            <a:endPara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  <xdr:twoCellAnchor>
    <xdr:from>
      <xdr:col>4</xdr:col>
      <xdr:colOff>9525</xdr:colOff>
      <xdr:row>39</xdr:row>
      <xdr:rowOff>0</xdr:rowOff>
    </xdr:from>
    <xdr:to>
      <xdr:col>7</xdr:col>
      <xdr:colOff>0</xdr:colOff>
      <xdr:row>39</xdr:row>
      <xdr:rowOff>321177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pSpPr/>
      </xdr:nvGrpSpPr>
      <xdr:grpSpPr>
        <a:xfrm>
          <a:off x="2491468" y="9133114"/>
          <a:ext cx="7142389" cy="321177"/>
          <a:chOff x="2533650" y="5155698"/>
          <a:chExt cx="7524750" cy="330702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/>
        </xdr:nvSpPr>
        <xdr:spPr>
          <a:xfrm>
            <a:off x="2533650" y="5181600"/>
            <a:ext cx="7524750" cy="304800"/>
          </a:xfrm>
          <a:prstGeom prst="rect">
            <a:avLst/>
          </a:prstGeom>
          <a:solidFill>
            <a:srgbClr val="00206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5152980" y="5155698"/>
            <a:ext cx="2668867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Serviços</a:t>
            </a:r>
            <a:r>
              <a:rPr lang="pt-BR" sz="14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consultoria avulso</a:t>
            </a:r>
            <a:endParaRPr lang="pt-BR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9525</xdr:colOff>
      <xdr:row>45</xdr:row>
      <xdr:rowOff>304800</xdr:rowOff>
    </xdr:from>
    <xdr:to>
      <xdr:col>7</xdr:col>
      <xdr:colOff>0</xdr:colOff>
      <xdr:row>46</xdr:row>
      <xdr:rowOff>321177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2491468" y="11375571"/>
          <a:ext cx="7142389" cy="332063"/>
          <a:chOff x="2523328" y="5136648"/>
          <a:chExt cx="7524750" cy="330702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2523328" y="5162550"/>
            <a:ext cx="7524750" cy="304800"/>
          </a:xfrm>
          <a:prstGeom prst="rect">
            <a:avLst/>
          </a:prstGeom>
          <a:solidFill>
            <a:srgbClr val="00206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5443993" y="5136648"/>
            <a:ext cx="2128131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Serviços</a:t>
            </a:r>
            <a:r>
              <a:rPr lang="pt-BR" sz="14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sustentação</a:t>
            </a:r>
            <a:endParaRPr lang="pt-BR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9525</xdr:colOff>
      <xdr:row>57</xdr:row>
      <xdr:rowOff>143783</xdr:rowOff>
    </xdr:from>
    <xdr:to>
      <xdr:col>6</xdr:col>
      <xdr:colOff>0</xdr:colOff>
      <xdr:row>59</xdr:row>
      <xdr:rowOff>1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pSpPr/>
      </xdr:nvGrpSpPr>
      <xdr:grpSpPr>
        <a:xfrm>
          <a:off x="2491468" y="14861269"/>
          <a:ext cx="5259161" cy="422275"/>
          <a:chOff x="2533650" y="5155698"/>
          <a:chExt cx="7524750" cy="330702"/>
        </a:xfrm>
        <a:solidFill>
          <a:schemeClr val="bg2">
            <a:lumMod val="25000"/>
          </a:schemeClr>
        </a:solidFill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/>
        </xdr:nvSpPr>
        <xdr:spPr>
          <a:xfrm>
            <a:off x="2533650" y="5181600"/>
            <a:ext cx="7524750" cy="304800"/>
          </a:xfrm>
          <a:prstGeom prst="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5187109" y="5155698"/>
            <a:ext cx="2518026" cy="319156"/>
          </a:xfrm>
          <a:prstGeom prst="rect">
            <a:avLst/>
          </a:prstGeom>
          <a:no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Quadro</a:t>
            </a:r>
            <a:r>
              <a:rPr lang="pt-BR" sz="1400" b="1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comissões Líquidas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19050</xdr:rowOff>
    </xdr:from>
    <xdr:to>
      <xdr:col>18</xdr:col>
      <xdr:colOff>0</xdr:colOff>
      <xdr:row>3</xdr:row>
      <xdr:rowOff>147316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843915" y="19050"/>
          <a:ext cx="12125325" cy="699766"/>
          <a:chOff x="828675" y="19050"/>
          <a:chExt cx="11391900" cy="69976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675" y="19050"/>
            <a:ext cx="901701" cy="699766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039475" y="28575"/>
            <a:ext cx="1181100" cy="67818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266700</xdr:colOff>
      <xdr:row>4</xdr:row>
      <xdr:rowOff>47625</xdr:rowOff>
    </xdr:from>
    <xdr:to>
      <xdr:col>2</xdr:col>
      <xdr:colOff>104775</xdr:colOff>
      <xdr:row>4</xdr:row>
      <xdr:rowOff>447675</xdr:rowOff>
    </xdr:to>
    <xdr:grpSp>
      <xdr:nvGrpSpPr>
        <xdr:cNvPr id="5" name="Agrupar 4">
          <a:hlinkClick xmlns:r="http://schemas.openxmlformats.org/officeDocument/2006/relationships" r:id="rId3" tooltip="Voltar para a página principal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266700" y="809625"/>
          <a:ext cx="1087755" cy="400050"/>
          <a:chOff x="266700" y="809625"/>
          <a:chExt cx="1057275" cy="400050"/>
        </a:xfrm>
      </xdr:grpSpPr>
      <xdr:sp macro="" textlink="">
        <xdr:nvSpPr>
          <xdr:cNvPr id="6" name="Seta: para a Direita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 rot="10800000">
            <a:off x="266700" y="809625"/>
            <a:ext cx="1057275" cy="400050"/>
          </a:xfrm>
          <a:prstGeom prst="rightArrow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582145" y="888498"/>
            <a:ext cx="569258" cy="25673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05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Voltar</a:t>
            </a:r>
          </a:p>
        </xdr:txBody>
      </xdr:sp>
    </xdr:grpSp>
    <xdr:clientData/>
  </xdr:twoCellAnchor>
  <xdr:twoCellAnchor>
    <xdr:from>
      <xdr:col>3</xdr:col>
      <xdr:colOff>180975</xdr:colOff>
      <xdr:row>4</xdr:row>
      <xdr:rowOff>95250</xdr:rowOff>
    </xdr:from>
    <xdr:to>
      <xdr:col>6</xdr:col>
      <xdr:colOff>257175</xdr:colOff>
      <xdr:row>4</xdr:row>
      <xdr:rowOff>412750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2055495" y="857250"/>
          <a:ext cx="1950720" cy="317500"/>
          <a:chOff x="1464598" y="819355"/>
          <a:chExt cx="1905000" cy="317500"/>
        </a:xfrm>
      </xdr:grpSpPr>
      <xdr:sp macro="[0]!Salvar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1926213" y="821669"/>
            <a:ext cx="961289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696058</xdr:colOff>
      <xdr:row>39</xdr:row>
      <xdr:rowOff>147869</xdr:rowOff>
    </xdr:from>
    <xdr:to>
      <xdr:col>6</xdr:col>
      <xdr:colOff>2540000</xdr:colOff>
      <xdr:row>43</xdr:row>
      <xdr:rowOff>170961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696058" y="8758469"/>
          <a:ext cx="16202199" cy="795978"/>
          <a:chOff x="696058" y="11196869"/>
          <a:chExt cx="15818478" cy="785092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696058" y="11232174"/>
            <a:ext cx="15818478" cy="749787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6710226" y="11196869"/>
            <a:ext cx="3903184" cy="78111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4400" b="0" cap="none" spc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Lista</a:t>
            </a:r>
            <a:r>
              <a:rPr lang="pt-BR" sz="4400" b="0" cap="none" spc="0" baseline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serviços (Gov)</a:t>
            </a:r>
            <a:endParaRPr lang="pt-BR" sz="4400" b="0" cap="none" spc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oneCellAnchor>
    <xdr:from>
      <xdr:col>0</xdr:col>
      <xdr:colOff>170962</xdr:colOff>
      <xdr:row>0</xdr:row>
      <xdr:rowOff>48846</xdr:rowOff>
    </xdr:from>
    <xdr:ext cx="1079642" cy="84547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62" y="48846"/>
          <a:ext cx="1079642" cy="845470"/>
        </a:xfrm>
        <a:prstGeom prst="rect">
          <a:avLst/>
        </a:prstGeom>
      </xdr:spPr>
    </xdr:pic>
    <xdr:clientData/>
  </xdr:oneCellAnchor>
  <xdr:twoCellAnchor>
    <xdr:from>
      <xdr:col>0</xdr:col>
      <xdr:colOff>243255</xdr:colOff>
      <xdr:row>5</xdr:row>
      <xdr:rowOff>70037</xdr:rowOff>
    </xdr:from>
    <xdr:to>
      <xdr:col>1</xdr:col>
      <xdr:colOff>770403</xdr:colOff>
      <xdr:row>8</xdr:row>
      <xdr:rowOff>56030</xdr:rowOff>
    </xdr:to>
    <xdr:grpSp>
      <xdr:nvGrpSpPr>
        <xdr:cNvPr id="6" name="Agrupar 5">
          <a:hlinkClick xmlns:r="http://schemas.openxmlformats.org/officeDocument/2006/relationships" r:id="rId2" tooltip="Voltar para a página principal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243255" y="995323"/>
          <a:ext cx="1256491" cy="541164"/>
          <a:chOff x="235734" y="809625"/>
          <a:chExt cx="1248735" cy="400050"/>
        </a:xfrm>
      </xdr:grpSpPr>
      <xdr:sp macro="" textlink="">
        <xdr:nvSpPr>
          <xdr:cNvPr id="7" name="Seta: para a Direita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rot="10800000">
            <a:off x="266700" y="809625"/>
            <a:ext cx="1057275" cy="400050"/>
          </a:xfrm>
          <a:prstGeom prst="rightArrow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hlinkClick xmlns:r="http://schemas.openxmlformats.org/officeDocument/2006/relationships" r:id="rId3" tooltip="Voltar para página principal"/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35734" y="858466"/>
            <a:ext cx="1248735" cy="282418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Voltar</a:t>
            </a:r>
          </a:p>
        </xdr:txBody>
      </xdr:sp>
    </xdr:grpSp>
    <xdr:clientData/>
  </xdr:twoCellAnchor>
  <xdr:oneCellAnchor>
    <xdr:from>
      <xdr:col>8</xdr:col>
      <xdr:colOff>85480</xdr:colOff>
      <xdr:row>0</xdr:row>
      <xdr:rowOff>97691</xdr:rowOff>
    </xdr:from>
    <xdr:ext cx="1245577" cy="732693"/>
    <xdr:pic>
      <xdr:nvPicPr>
        <xdr:cNvPr id="9" name="image2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962280" y="97691"/>
          <a:ext cx="1245577" cy="732693"/>
        </a:xfrm>
        <a:prstGeom prst="rect">
          <a:avLst/>
        </a:prstGeom>
        <a:noFill/>
      </xdr:spPr>
    </xdr:pic>
    <xdr:clientData fLocksWithSheet="0"/>
  </xdr:oneCellAnchor>
  <xdr:twoCellAnchor>
    <xdr:from>
      <xdr:col>1</xdr:col>
      <xdr:colOff>1186674</xdr:colOff>
      <xdr:row>5</xdr:row>
      <xdr:rowOff>176350</xdr:rowOff>
    </xdr:from>
    <xdr:to>
      <xdr:col>1</xdr:col>
      <xdr:colOff>3091674</xdr:colOff>
      <xdr:row>7</xdr:row>
      <xdr:rowOff>154081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1916017" y="1101636"/>
          <a:ext cx="1905000" cy="347845"/>
          <a:chOff x="1464598" y="819355"/>
          <a:chExt cx="1905000" cy="317500"/>
        </a:xfrm>
      </xdr:grpSpPr>
      <xdr:sp macro="[0]!Salvar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1912205" y="857735"/>
            <a:ext cx="961289" cy="255077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>
    <xdr:from>
      <xdr:col>6</xdr:col>
      <xdr:colOff>647212</xdr:colOff>
      <xdr:row>40</xdr:row>
      <xdr:rowOff>27104</xdr:rowOff>
    </xdr:from>
    <xdr:to>
      <xdr:col>6</xdr:col>
      <xdr:colOff>2405673</xdr:colOff>
      <xdr:row>41</xdr:row>
      <xdr:rowOff>164976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15005469" y="8822761"/>
          <a:ext cx="1758461" cy="333815"/>
          <a:chOff x="14621748" y="10953640"/>
          <a:chExt cx="1758461" cy="328372"/>
        </a:xfrm>
      </xdr:grpSpPr>
      <xdr:sp macro="[0]!Adicionarlinha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14621748" y="10989317"/>
            <a:ext cx="1758461" cy="292695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dicionarlinha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14823325" y="10953640"/>
            <a:ext cx="1340495" cy="3157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Adicionar</a:t>
            </a:r>
            <a:r>
              <a:rPr lang="pt-BR" sz="1400" b="1" cap="none" spc="0" baseline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Linha</a:t>
            </a:r>
            <a:endParaRPr lang="pt-BR" sz="1400" b="1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6</xdr:col>
      <xdr:colOff>653073</xdr:colOff>
      <xdr:row>42</xdr:row>
      <xdr:rowOff>8542</xdr:rowOff>
    </xdr:from>
    <xdr:to>
      <xdr:col>6</xdr:col>
      <xdr:colOff>2411534</xdr:colOff>
      <xdr:row>43</xdr:row>
      <xdr:rowOff>133818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15011330" y="9196085"/>
          <a:ext cx="1758461" cy="321219"/>
          <a:chOff x="14134611" y="11059984"/>
          <a:chExt cx="1758461" cy="320661"/>
        </a:xfrm>
      </xdr:grpSpPr>
      <xdr:sp macro="[0]!Excluirlinh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14134611" y="11071238"/>
            <a:ext cx="1758461" cy="297580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Excluirlinha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14372823" y="11059984"/>
            <a:ext cx="1340495" cy="32066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 baseline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Excluir Linha</a:t>
            </a:r>
            <a:endParaRPr lang="pt-BR" sz="1400" b="1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0</xdr:colOff>
      <xdr:row>8</xdr:row>
      <xdr:rowOff>177805</xdr:rowOff>
    </xdr:from>
    <xdr:to>
      <xdr:col>12</xdr:col>
      <xdr:colOff>13606</xdr:colOff>
      <xdr:row>9</xdr:row>
      <xdr:rowOff>758790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0" y="1658262"/>
          <a:ext cx="20130406" cy="776928"/>
          <a:chOff x="0" y="1511305"/>
          <a:chExt cx="19635106" cy="785092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/>
        </xdr:nvSpPr>
        <xdr:spPr>
          <a:xfrm>
            <a:off x="0" y="1546610"/>
            <a:ext cx="19635106" cy="749787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/>
        </xdr:nvSpPr>
        <xdr:spPr>
          <a:xfrm>
            <a:off x="8632145" y="1511305"/>
            <a:ext cx="2511137" cy="78111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4400" b="0" cap="none" spc="0" baseline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Simulador (Gov)</a:t>
            </a:r>
            <a:endParaRPr lang="pt-BR" sz="4400" b="0" cap="none" spc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1</xdr:col>
      <xdr:colOff>3352131</xdr:colOff>
      <xdr:row>6</xdr:row>
      <xdr:rowOff>2578</xdr:rowOff>
    </xdr:from>
    <xdr:to>
      <xdr:col>2</xdr:col>
      <xdr:colOff>1270239</xdr:colOff>
      <xdr:row>7</xdr:row>
      <xdr:rowOff>188120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4081474" y="1112921"/>
          <a:ext cx="2011136" cy="362979"/>
          <a:chOff x="1464598" y="819355"/>
          <a:chExt cx="1905000" cy="334821"/>
        </a:xfrm>
      </xdr:grpSpPr>
      <xdr:sp macro="[0]!Limpar_Formação_de_preços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Limpar_Formação_de_preços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/>
        </xdr:nvSpPr>
        <xdr:spPr>
          <a:xfrm>
            <a:off x="1951220" y="845891"/>
            <a:ext cx="911275" cy="30828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LIMPAR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sadora Prado" id="{A4C7DE8F-9CEB-4DE1-9DCB-C251A87A7A40}" userId="7b5534513d5b5fb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B45:G77" totalsRowShown="0" headerRowDxfId="7" dataDxfId="6">
  <tableColumns count="6">
    <tableColumn id="1" xr3:uid="{00000000-0010-0000-0000-000001000000}" name="Nome do Serviço " dataDxfId="5"/>
    <tableColumn id="2" xr3:uid="{00000000-0010-0000-0000-000002000000}" name="Quantidade horas" dataDxfId="4"/>
    <tableColumn id="3" xr3:uid="{00000000-0010-0000-0000-000003000000}" name="Valor da hora trabalhada" dataDxfId="3"/>
    <tableColumn id="4" xr3:uid="{00000000-0010-0000-0000-000004000000}" name="Lucro estimado por serviço" dataDxfId="2"/>
    <tableColumn id="6" xr3:uid="{00000000-0010-0000-0000-000006000000}" name="Preço de custo" dataDxfId="1">
      <calculatedColumnFormula>Tabela2[[#This Row],[Quantidade horas]]*Tabela2[[#This Row],[Valor da hora trabalhada]]</calculatedColumnFormula>
    </tableColumn>
    <tableColumn id="5" xr3:uid="{00000000-0010-0000-0000-000005000000}" name="Percentual de lucratividade (margem de segurança)" dataDxfId="0">
      <calculatedColumnFormula>IFERROR(Tabela2[[#This Row],[Lucro estimado por serviço]]/Tabela2[[#This Row],[Preço de custo]],"")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1-03-03T13:40:36.64" personId="{A4C7DE8F-9CEB-4DE1-9DCB-C251A87A7A40}" id="{7B519602-4A2D-4125-9724-B4F15A9A661B}">
    <text>O percentual global da Accerte é 16%, mas para negócios de governo ficou definido10% por conta do volume de faturamento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1-03-03T13:40:36.64" personId="{A4C7DE8F-9CEB-4DE1-9DCB-C251A87A7A40}" id="{D4A2F80A-9C59-49A8-9A36-67B3CC77607B}">
    <text>O percentual global da Accerte é 16%, mas para negócios de governo ficou definido10% por conta do volume de faturamento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3" dT="2021-03-03T13:32:42.54" personId="{A4C7DE8F-9CEB-4DE1-9DCB-C251A87A7A40}" id="{A3988EA7-FC4B-45AD-AC4D-9EC46052B4DB}">
    <text>O percentual global da Accerte é 16%, mas para negócios de governo ficou definido10% por conta do volume de faturamento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10" dT="2021-03-03T13:39:00.59" personId="{A4C7DE8F-9CEB-4DE1-9DCB-C251A87A7A40}" id="{87F516C9-78BC-4B6F-ADEA-2C2A4BC47D66}">
    <text>O percentual global da Accerte é 16%, mas para negócios de governo ficou definido10% por conta do volume de faturamento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0" dT="2021-03-03T13:39:11.48" personId="{A4C7DE8F-9CEB-4DE1-9DCB-C251A87A7A40}" id="{614977F3-D7EA-495B-9C22-AD2DE059A469}">
    <text>O percentual global da Accerte é 16%, mas para negócios de governo ficou definido10% por conta do volume de faturamento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32" dT="2021-03-24T14:06:31.97" personId="{A4C7DE8F-9CEB-4DE1-9DCB-C251A87A7A40}" id="{D96CDFD5-7713-47B2-B462-B5E38D665EE0}">
    <text>Impostos considerados: 
PIS: 1,65%
COFINS: 7,6%
ISS 2% (faturamento por brasilia)</text>
  </threadedComment>
  <threadedComment ref="C48" dT="2021-07-23T19:57:50.31" personId="{A4C7DE8F-9CEB-4DE1-9DCB-C251A87A7A40}" id="{41E0B76B-F05B-4082-B434-6DE6FCE131FF}">
    <text>já está sendo considerado acima</text>
  </threadedComment>
  <threadedComment ref="C74" dT="2021-03-24T14:06:31.97" personId="{A4C7DE8F-9CEB-4DE1-9DCB-C251A87A7A40}" id="{FFDCC0F3-3822-4D08-90D0-9E71D32699BA}">
    <text>Impostos considerados: 
PIS: 1,65%
COFINS: 7,6%
ISS 2% (faturamento por brasilia)</text>
  </threadedComment>
  <threadedComment ref="C92" dT="2021-07-23T19:57:30.36" personId="{A4C7DE8F-9CEB-4DE1-9DCB-C251A87A7A40}" id="{3D39F102-08D4-474B-A910-14BAE3FB17BB}">
    <text>Já está sendo considerado acima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9" Type="http://schemas.openxmlformats.org/officeDocument/2006/relationships/ctrlProp" Target="../ctrlProps/ctrlProp83.xml"/><Relationship Id="rId21" Type="http://schemas.openxmlformats.org/officeDocument/2006/relationships/ctrlProp" Target="../ctrlProps/ctrlProp65.xml"/><Relationship Id="rId34" Type="http://schemas.openxmlformats.org/officeDocument/2006/relationships/ctrlProp" Target="../ctrlProps/ctrlProp78.xml"/><Relationship Id="rId42" Type="http://schemas.openxmlformats.org/officeDocument/2006/relationships/ctrlProp" Target="../ctrlProps/ctrlProp86.xml"/><Relationship Id="rId47" Type="http://schemas.openxmlformats.org/officeDocument/2006/relationships/ctrlProp" Target="../ctrlProps/ctrlProp91.xml"/><Relationship Id="rId50" Type="http://schemas.openxmlformats.org/officeDocument/2006/relationships/ctrlProp" Target="../ctrlProps/ctrlProp94.x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0.xml"/><Relationship Id="rId29" Type="http://schemas.openxmlformats.org/officeDocument/2006/relationships/ctrlProp" Target="../ctrlProps/ctrlProp73.xml"/><Relationship Id="rId11" Type="http://schemas.openxmlformats.org/officeDocument/2006/relationships/ctrlProp" Target="../ctrlProps/ctrlProp55.xml"/><Relationship Id="rId24" Type="http://schemas.openxmlformats.org/officeDocument/2006/relationships/ctrlProp" Target="../ctrlProps/ctrlProp68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53" Type="http://schemas.microsoft.com/office/2017/10/relationships/threadedComment" Target="../threadedComments/threadedComment2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19" Type="http://schemas.openxmlformats.org/officeDocument/2006/relationships/ctrlProp" Target="../ctrlProps/ctrlProp63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52" Type="http://schemas.openxmlformats.org/officeDocument/2006/relationships/comments" Target="../comments2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43" Type="http://schemas.openxmlformats.org/officeDocument/2006/relationships/ctrlProp" Target="../ctrlProps/ctrlProp87.xml"/><Relationship Id="rId48" Type="http://schemas.openxmlformats.org/officeDocument/2006/relationships/ctrlProp" Target="../ctrlProps/ctrlProp92.xml"/><Relationship Id="rId8" Type="http://schemas.openxmlformats.org/officeDocument/2006/relationships/ctrlProp" Target="../ctrlProps/ctrlProp52.xml"/><Relationship Id="rId51" Type="http://schemas.openxmlformats.org/officeDocument/2006/relationships/ctrlProp" Target="../ctrlProps/ctrlProp95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46" Type="http://schemas.openxmlformats.org/officeDocument/2006/relationships/ctrlProp" Target="../ctrlProps/ctrlProp90.xml"/><Relationship Id="rId20" Type="http://schemas.openxmlformats.org/officeDocument/2006/relationships/ctrlProp" Target="../ctrlProps/ctrlProp64.xml"/><Relationship Id="rId41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0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49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47" Type="http://schemas.openxmlformats.org/officeDocument/2006/relationships/ctrlProp" Target="../ctrlProps/ctrlProp140.xml"/><Relationship Id="rId50" Type="http://schemas.openxmlformats.org/officeDocument/2006/relationships/ctrlProp" Target="../ctrlProps/ctrlProp143.xml"/><Relationship Id="rId7" Type="http://schemas.openxmlformats.org/officeDocument/2006/relationships/ctrlProp" Target="../ctrlProps/ctrlProp10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09.xml"/><Relationship Id="rId29" Type="http://schemas.openxmlformats.org/officeDocument/2006/relationships/ctrlProp" Target="../ctrlProps/ctrlProp122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45" Type="http://schemas.openxmlformats.org/officeDocument/2006/relationships/ctrlProp" Target="../ctrlProps/ctrlProp138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49" Type="http://schemas.openxmlformats.org/officeDocument/2006/relationships/ctrlProp" Target="../ctrlProps/ctrlProp142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4" Type="http://schemas.openxmlformats.org/officeDocument/2006/relationships/ctrlProp" Target="../ctrlProps/ctrlProp137.xml"/><Relationship Id="rId52" Type="http://schemas.microsoft.com/office/2017/10/relationships/threadedComment" Target="../threadedComments/threadedComment3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Relationship Id="rId43" Type="http://schemas.openxmlformats.org/officeDocument/2006/relationships/ctrlProp" Target="../ctrlProps/ctrlProp136.xml"/><Relationship Id="rId48" Type="http://schemas.openxmlformats.org/officeDocument/2006/relationships/ctrlProp" Target="../ctrlProps/ctrlProp141.xml"/><Relationship Id="rId8" Type="http://schemas.openxmlformats.org/officeDocument/2006/relationships/ctrlProp" Target="../ctrlProps/ctrlProp101.xml"/><Relationship Id="rId51" Type="http://schemas.openxmlformats.org/officeDocument/2006/relationships/comments" Target="../comments3.xml"/><Relationship Id="rId3" Type="http://schemas.openxmlformats.org/officeDocument/2006/relationships/ctrlProp" Target="../ctrlProps/ctrlProp96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46" Type="http://schemas.openxmlformats.org/officeDocument/2006/relationships/ctrlProp" Target="../ctrlProps/ctrlProp139.xml"/><Relationship Id="rId20" Type="http://schemas.openxmlformats.org/officeDocument/2006/relationships/ctrlProp" Target="../ctrlProps/ctrlProp113.xml"/><Relationship Id="rId41" Type="http://schemas.openxmlformats.org/officeDocument/2006/relationships/ctrlProp" Target="../ctrlProps/ctrlProp1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42" Type="http://schemas.openxmlformats.org/officeDocument/2006/relationships/ctrlProp" Target="../ctrlProps/ctrlProp183.xml"/><Relationship Id="rId47" Type="http://schemas.openxmlformats.org/officeDocument/2006/relationships/ctrlProp" Target="../ctrlProps/ctrlProp188.xml"/><Relationship Id="rId50" Type="http://schemas.openxmlformats.org/officeDocument/2006/relationships/ctrlProp" Target="../ctrlProps/ctrlProp191.xml"/><Relationship Id="rId7" Type="http://schemas.openxmlformats.org/officeDocument/2006/relationships/ctrlProp" Target="../ctrlProps/ctrlProp148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57.xml"/><Relationship Id="rId29" Type="http://schemas.openxmlformats.org/officeDocument/2006/relationships/ctrlProp" Target="../ctrlProps/ctrlProp170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40" Type="http://schemas.openxmlformats.org/officeDocument/2006/relationships/ctrlProp" Target="../ctrlProps/ctrlProp181.xml"/><Relationship Id="rId45" Type="http://schemas.openxmlformats.org/officeDocument/2006/relationships/ctrlProp" Target="../ctrlProps/ctrlProp186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49" Type="http://schemas.openxmlformats.org/officeDocument/2006/relationships/ctrlProp" Target="../ctrlProps/ctrlProp190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4" Type="http://schemas.openxmlformats.org/officeDocument/2006/relationships/ctrlProp" Target="../ctrlProps/ctrlProp185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43" Type="http://schemas.openxmlformats.org/officeDocument/2006/relationships/ctrlProp" Target="../ctrlProps/ctrlProp184.xml"/><Relationship Id="rId48" Type="http://schemas.openxmlformats.org/officeDocument/2006/relationships/ctrlProp" Target="../ctrlProps/ctrlProp189.xml"/><Relationship Id="rId8" Type="http://schemas.openxmlformats.org/officeDocument/2006/relationships/ctrlProp" Target="../ctrlProps/ctrlProp149.xml"/><Relationship Id="rId3" Type="http://schemas.openxmlformats.org/officeDocument/2006/relationships/ctrlProp" Target="../ctrlProps/ctrlProp144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46" Type="http://schemas.openxmlformats.org/officeDocument/2006/relationships/ctrlProp" Target="../ctrlProps/ctrlProp187.xml"/><Relationship Id="rId20" Type="http://schemas.openxmlformats.org/officeDocument/2006/relationships/ctrlProp" Target="../ctrlProps/ctrlProp161.xml"/><Relationship Id="rId41" Type="http://schemas.openxmlformats.org/officeDocument/2006/relationships/ctrlProp" Target="../ctrlProps/ctrlProp18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7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2.xml"/><Relationship Id="rId18" Type="http://schemas.openxmlformats.org/officeDocument/2006/relationships/ctrlProp" Target="../ctrlProps/ctrlProp207.xml"/><Relationship Id="rId26" Type="http://schemas.openxmlformats.org/officeDocument/2006/relationships/ctrlProp" Target="../ctrlProps/ctrlProp215.xml"/><Relationship Id="rId39" Type="http://schemas.openxmlformats.org/officeDocument/2006/relationships/ctrlProp" Target="../ctrlProps/ctrlProp228.xml"/><Relationship Id="rId21" Type="http://schemas.openxmlformats.org/officeDocument/2006/relationships/ctrlProp" Target="../ctrlProps/ctrlProp210.xml"/><Relationship Id="rId34" Type="http://schemas.openxmlformats.org/officeDocument/2006/relationships/ctrlProp" Target="../ctrlProps/ctrlProp223.xml"/><Relationship Id="rId42" Type="http://schemas.openxmlformats.org/officeDocument/2006/relationships/ctrlProp" Target="../ctrlProps/ctrlProp231.xml"/><Relationship Id="rId47" Type="http://schemas.openxmlformats.org/officeDocument/2006/relationships/ctrlProp" Target="../ctrlProps/ctrlProp236.xml"/><Relationship Id="rId50" Type="http://schemas.openxmlformats.org/officeDocument/2006/relationships/ctrlProp" Target="../ctrlProps/ctrlProp239.xml"/><Relationship Id="rId7" Type="http://schemas.openxmlformats.org/officeDocument/2006/relationships/ctrlProp" Target="../ctrlProps/ctrlProp19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205.xml"/><Relationship Id="rId29" Type="http://schemas.openxmlformats.org/officeDocument/2006/relationships/ctrlProp" Target="../ctrlProps/ctrlProp218.xml"/><Relationship Id="rId11" Type="http://schemas.openxmlformats.org/officeDocument/2006/relationships/ctrlProp" Target="../ctrlProps/ctrlProp200.xml"/><Relationship Id="rId24" Type="http://schemas.openxmlformats.org/officeDocument/2006/relationships/ctrlProp" Target="../ctrlProps/ctrlProp213.xml"/><Relationship Id="rId32" Type="http://schemas.openxmlformats.org/officeDocument/2006/relationships/ctrlProp" Target="../ctrlProps/ctrlProp221.xml"/><Relationship Id="rId37" Type="http://schemas.openxmlformats.org/officeDocument/2006/relationships/ctrlProp" Target="../ctrlProps/ctrlProp226.xml"/><Relationship Id="rId40" Type="http://schemas.openxmlformats.org/officeDocument/2006/relationships/ctrlProp" Target="../ctrlProps/ctrlProp229.xml"/><Relationship Id="rId45" Type="http://schemas.openxmlformats.org/officeDocument/2006/relationships/ctrlProp" Target="../ctrlProps/ctrlProp234.xml"/><Relationship Id="rId5" Type="http://schemas.openxmlformats.org/officeDocument/2006/relationships/ctrlProp" Target="../ctrlProps/ctrlProp194.xml"/><Relationship Id="rId15" Type="http://schemas.openxmlformats.org/officeDocument/2006/relationships/ctrlProp" Target="../ctrlProps/ctrlProp204.xml"/><Relationship Id="rId23" Type="http://schemas.openxmlformats.org/officeDocument/2006/relationships/ctrlProp" Target="../ctrlProps/ctrlProp212.xml"/><Relationship Id="rId28" Type="http://schemas.openxmlformats.org/officeDocument/2006/relationships/ctrlProp" Target="../ctrlProps/ctrlProp217.xml"/><Relationship Id="rId36" Type="http://schemas.openxmlformats.org/officeDocument/2006/relationships/ctrlProp" Target="../ctrlProps/ctrlProp225.xml"/><Relationship Id="rId49" Type="http://schemas.openxmlformats.org/officeDocument/2006/relationships/ctrlProp" Target="../ctrlProps/ctrlProp238.xml"/><Relationship Id="rId10" Type="http://schemas.openxmlformats.org/officeDocument/2006/relationships/ctrlProp" Target="../ctrlProps/ctrlProp199.xml"/><Relationship Id="rId19" Type="http://schemas.openxmlformats.org/officeDocument/2006/relationships/ctrlProp" Target="../ctrlProps/ctrlProp208.xml"/><Relationship Id="rId31" Type="http://schemas.openxmlformats.org/officeDocument/2006/relationships/ctrlProp" Target="../ctrlProps/ctrlProp220.xml"/><Relationship Id="rId44" Type="http://schemas.openxmlformats.org/officeDocument/2006/relationships/ctrlProp" Target="../ctrlProps/ctrlProp233.xml"/><Relationship Id="rId52" Type="http://schemas.microsoft.com/office/2017/10/relationships/threadedComment" Target="../threadedComments/threadedComment4.xml"/><Relationship Id="rId4" Type="http://schemas.openxmlformats.org/officeDocument/2006/relationships/ctrlProp" Target="../ctrlProps/ctrlProp193.xml"/><Relationship Id="rId9" Type="http://schemas.openxmlformats.org/officeDocument/2006/relationships/ctrlProp" Target="../ctrlProps/ctrlProp198.xml"/><Relationship Id="rId14" Type="http://schemas.openxmlformats.org/officeDocument/2006/relationships/ctrlProp" Target="../ctrlProps/ctrlProp203.xml"/><Relationship Id="rId22" Type="http://schemas.openxmlformats.org/officeDocument/2006/relationships/ctrlProp" Target="../ctrlProps/ctrlProp211.xml"/><Relationship Id="rId27" Type="http://schemas.openxmlformats.org/officeDocument/2006/relationships/ctrlProp" Target="../ctrlProps/ctrlProp216.xml"/><Relationship Id="rId30" Type="http://schemas.openxmlformats.org/officeDocument/2006/relationships/ctrlProp" Target="../ctrlProps/ctrlProp219.xml"/><Relationship Id="rId35" Type="http://schemas.openxmlformats.org/officeDocument/2006/relationships/ctrlProp" Target="../ctrlProps/ctrlProp224.xml"/><Relationship Id="rId43" Type="http://schemas.openxmlformats.org/officeDocument/2006/relationships/ctrlProp" Target="../ctrlProps/ctrlProp232.xml"/><Relationship Id="rId48" Type="http://schemas.openxmlformats.org/officeDocument/2006/relationships/ctrlProp" Target="../ctrlProps/ctrlProp237.xml"/><Relationship Id="rId8" Type="http://schemas.openxmlformats.org/officeDocument/2006/relationships/ctrlProp" Target="../ctrlProps/ctrlProp197.xml"/><Relationship Id="rId51" Type="http://schemas.openxmlformats.org/officeDocument/2006/relationships/comments" Target="../comments4.xml"/><Relationship Id="rId3" Type="http://schemas.openxmlformats.org/officeDocument/2006/relationships/ctrlProp" Target="../ctrlProps/ctrlProp192.xml"/><Relationship Id="rId12" Type="http://schemas.openxmlformats.org/officeDocument/2006/relationships/ctrlProp" Target="../ctrlProps/ctrlProp201.xml"/><Relationship Id="rId17" Type="http://schemas.openxmlformats.org/officeDocument/2006/relationships/ctrlProp" Target="../ctrlProps/ctrlProp206.xml"/><Relationship Id="rId25" Type="http://schemas.openxmlformats.org/officeDocument/2006/relationships/ctrlProp" Target="../ctrlProps/ctrlProp214.xml"/><Relationship Id="rId33" Type="http://schemas.openxmlformats.org/officeDocument/2006/relationships/ctrlProp" Target="../ctrlProps/ctrlProp222.xml"/><Relationship Id="rId38" Type="http://schemas.openxmlformats.org/officeDocument/2006/relationships/ctrlProp" Target="../ctrlProps/ctrlProp227.xml"/><Relationship Id="rId46" Type="http://schemas.openxmlformats.org/officeDocument/2006/relationships/ctrlProp" Target="../ctrlProps/ctrlProp235.xml"/><Relationship Id="rId20" Type="http://schemas.openxmlformats.org/officeDocument/2006/relationships/ctrlProp" Target="../ctrlProps/ctrlProp209.xml"/><Relationship Id="rId41" Type="http://schemas.openxmlformats.org/officeDocument/2006/relationships/ctrlProp" Target="../ctrlProps/ctrlProp23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5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26" Type="http://schemas.openxmlformats.org/officeDocument/2006/relationships/ctrlProp" Target="../ctrlProps/ctrlProp262.xml"/><Relationship Id="rId39" Type="http://schemas.openxmlformats.org/officeDocument/2006/relationships/ctrlProp" Target="../ctrlProps/ctrlProp275.xml"/><Relationship Id="rId21" Type="http://schemas.openxmlformats.org/officeDocument/2006/relationships/ctrlProp" Target="../ctrlProps/ctrlProp257.xml"/><Relationship Id="rId34" Type="http://schemas.openxmlformats.org/officeDocument/2006/relationships/ctrlProp" Target="../ctrlProps/ctrlProp270.xml"/><Relationship Id="rId42" Type="http://schemas.openxmlformats.org/officeDocument/2006/relationships/ctrlProp" Target="../ctrlProps/ctrlProp278.xml"/><Relationship Id="rId47" Type="http://schemas.openxmlformats.org/officeDocument/2006/relationships/ctrlProp" Target="../ctrlProps/ctrlProp283.xml"/><Relationship Id="rId50" Type="http://schemas.openxmlformats.org/officeDocument/2006/relationships/ctrlProp" Target="../ctrlProps/ctrlProp286.xml"/><Relationship Id="rId7" Type="http://schemas.openxmlformats.org/officeDocument/2006/relationships/ctrlProp" Target="../ctrlProps/ctrlProp24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52.xml"/><Relationship Id="rId29" Type="http://schemas.openxmlformats.org/officeDocument/2006/relationships/ctrlProp" Target="../ctrlProps/ctrlProp265.xml"/><Relationship Id="rId11" Type="http://schemas.openxmlformats.org/officeDocument/2006/relationships/ctrlProp" Target="../ctrlProps/ctrlProp247.xml"/><Relationship Id="rId24" Type="http://schemas.openxmlformats.org/officeDocument/2006/relationships/ctrlProp" Target="../ctrlProps/ctrlProp260.xml"/><Relationship Id="rId32" Type="http://schemas.openxmlformats.org/officeDocument/2006/relationships/ctrlProp" Target="../ctrlProps/ctrlProp268.xml"/><Relationship Id="rId37" Type="http://schemas.openxmlformats.org/officeDocument/2006/relationships/ctrlProp" Target="../ctrlProps/ctrlProp273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53" Type="http://schemas.microsoft.com/office/2017/10/relationships/threadedComment" Target="../threadedComments/threadedComment5.xml"/><Relationship Id="rId5" Type="http://schemas.openxmlformats.org/officeDocument/2006/relationships/ctrlProp" Target="../ctrlProps/ctrlProp241.xml"/><Relationship Id="rId10" Type="http://schemas.openxmlformats.org/officeDocument/2006/relationships/ctrlProp" Target="../ctrlProps/ctrlProp246.xml"/><Relationship Id="rId19" Type="http://schemas.openxmlformats.org/officeDocument/2006/relationships/ctrlProp" Target="../ctrlProps/ctrlProp255.xml"/><Relationship Id="rId31" Type="http://schemas.openxmlformats.org/officeDocument/2006/relationships/ctrlProp" Target="../ctrlProps/ctrlProp267.xml"/><Relationship Id="rId44" Type="http://schemas.openxmlformats.org/officeDocument/2006/relationships/ctrlProp" Target="../ctrlProps/ctrlProp280.xml"/><Relationship Id="rId52" Type="http://schemas.openxmlformats.org/officeDocument/2006/relationships/comments" Target="../comments5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4" Type="http://schemas.openxmlformats.org/officeDocument/2006/relationships/ctrlProp" Target="../ctrlProps/ctrlProp250.xml"/><Relationship Id="rId22" Type="http://schemas.openxmlformats.org/officeDocument/2006/relationships/ctrlProp" Target="../ctrlProps/ctrlProp258.xml"/><Relationship Id="rId27" Type="http://schemas.openxmlformats.org/officeDocument/2006/relationships/ctrlProp" Target="../ctrlProps/ctrlProp263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43" Type="http://schemas.openxmlformats.org/officeDocument/2006/relationships/ctrlProp" Target="../ctrlProps/ctrlProp279.xml"/><Relationship Id="rId48" Type="http://schemas.openxmlformats.org/officeDocument/2006/relationships/ctrlProp" Target="../ctrlProps/ctrlProp28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248.xml"/><Relationship Id="rId17" Type="http://schemas.openxmlformats.org/officeDocument/2006/relationships/ctrlProp" Target="../ctrlProps/ctrlProp253.xml"/><Relationship Id="rId25" Type="http://schemas.openxmlformats.org/officeDocument/2006/relationships/ctrlProp" Target="../ctrlProps/ctrlProp261.xml"/><Relationship Id="rId33" Type="http://schemas.openxmlformats.org/officeDocument/2006/relationships/ctrlProp" Target="../ctrlProps/ctrlProp269.xml"/><Relationship Id="rId38" Type="http://schemas.openxmlformats.org/officeDocument/2006/relationships/ctrlProp" Target="../ctrlProps/ctrlProp274.xml"/><Relationship Id="rId46" Type="http://schemas.openxmlformats.org/officeDocument/2006/relationships/ctrlProp" Target="../ctrlProps/ctrlProp282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2.xml"/><Relationship Id="rId15" Type="http://schemas.openxmlformats.org/officeDocument/2006/relationships/ctrlProp" Target="../ctrlProps/ctrlProp251.xml"/><Relationship Id="rId23" Type="http://schemas.openxmlformats.org/officeDocument/2006/relationships/ctrlProp" Target="../ctrlProps/ctrlProp259.xml"/><Relationship Id="rId28" Type="http://schemas.openxmlformats.org/officeDocument/2006/relationships/ctrlProp" Target="../ctrlProps/ctrlProp264.xml"/><Relationship Id="rId36" Type="http://schemas.openxmlformats.org/officeDocument/2006/relationships/ctrlProp" Target="../ctrlProps/ctrlProp272.xml"/><Relationship Id="rId49" Type="http://schemas.openxmlformats.org/officeDocument/2006/relationships/ctrlProp" Target="../ctrlProps/ctrlProp28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3:X21"/>
  <sheetViews>
    <sheetView showGridLines="0" zoomScale="60" zoomScaleNormal="60" workbookViewId="0">
      <selection activeCell="K28" sqref="K28"/>
    </sheetView>
  </sheetViews>
  <sheetFormatPr defaultRowHeight="14.4" x14ac:dyDescent="0.3"/>
  <cols>
    <col min="1" max="1" width="23.109375" customWidth="1"/>
    <col min="2" max="2" width="9.109375" style="321"/>
    <col min="3" max="3" width="24.5546875" style="321" customWidth="1"/>
    <col min="4" max="4" width="13.5546875" customWidth="1"/>
    <col min="6" max="6" width="20.6640625" bestFit="1" customWidth="1"/>
    <col min="7" max="7" width="20.6640625" customWidth="1"/>
    <col min="8" max="8" width="21.6640625" bestFit="1" customWidth="1"/>
    <col min="9" max="10" width="21.6640625" customWidth="1"/>
    <col min="11" max="11" width="21.109375" bestFit="1" customWidth="1"/>
    <col min="13" max="13" width="11.6640625" customWidth="1"/>
    <col min="14" max="14" width="10.33203125" customWidth="1"/>
    <col min="15" max="15" width="13.33203125" bestFit="1" customWidth="1"/>
  </cols>
  <sheetData>
    <row r="3" spans="1:24" x14ac:dyDescent="0.3">
      <c r="B3"/>
      <c r="C3"/>
    </row>
    <row r="4" spans="1:24" x14ac:dyDescent="0.3">
      <c r="B4" s="310"/>
      <c r="C4" s="310"/>
      <c r="D4" s="311"/>
      <c r="E4" s="311"/>
    </row>
    <row r="5" spans="1:24" x14ac:dyDescent="0.3">
      <c r="B5" s="310"/>
      <c r="C5" s="310"/>
      <c r="D5" s="310"/>
      <c r="E5" s="310"/>
      <c r="F5" s="340"/>
      <c r="G5" s="340"/>
      <c r="H5" s="341"/>
      <c r="I5" s="341"/>
      <c r="J5" s="341"/>
      <c r="K5" s="340"/>
    </row>
    <row r="6" spans="1:24" x14ac:dyDescent="0.3">
      <c r="B6" s="310"/>
      <c r="C6" s="310"/>
      <c r="D6" s="310"/>
      <c r="E6" s="310"/>
    </row>
    <row r="7" spans="1:24" x14ac:dyDescent="0.3">
      <c r="B7" s="421" t="s">
        <v>0</v>
      </c>
      <c r="C7" s="421"/>
      <c r="D7" s="421"/>
      <c r="E7" s="421"/>
      <c r="F7" s="421"/>
      <c r="G7" s="421"/>
      <c r="H7" s="421"/>
      <c r="I7" s="421"/>
      <c r="J7" s="421"/>
      <c r="K7" s="421"/>
      <c r="M7" s="422" t="s">
        <v>1</v>
      </c>
      <c r="N7" s="422"/>
      <c r="O7" s="422"/>
      <c r="P7" s="422"/>
      <c r="Q7" s="422"/>
      <c r="R7" s="422"/>
      <c r="S7" s="422"/>
      <c r="T7" s="422"/>
      <c r="U7" s="422"/>
      <c r="V7" s="422"/>
      <c r="W7" s="422"/>
      <c r="X7" s="422"/>
    </row>
    <row r="8" spans="1:24" ht="28.8" x14ac:dyDescent="0.3">
      <c r="A8" s="362" t="s">
        <v>2</v>
      </c>
      <c r="B8" s="362" t="s">
        <v>3</v>
      </c>
      <c r="C8" s="362" t="s">
        <v>4</v>
      </c>
      <c r="D8" s="362" t="s">
        <v>5</v>
      </c>
      <c r="E8" s="362" t="s">
        <v>6</v>
      </c>
      <c r="F8" s="363" t="s">
        <v>7</v>
      </c>
      <c r="G8" s="363" t="s">
        <v>8</v>
      </c>
      <c r="H8" s="363" t="s">
        <v>9</v>
      </c>
      <c r="I8" s="362" t="s">
        <v>10</v>
      </c>
      <c r="J8" s="362" t="s">
        <v>11</v>
      </c>
      <c r="K8" s="362" t="s">
        <v>12</v>
      </c>
      <c r="M8" s="355">
        <v>0.6</v>
      </c>
      <c r="N8" s="355">
        <v>0.55000000000000004</v>
      </c>
      <c r="O8" s="355">
        <v>0.5</v>
      </c>
      <c r="P8" s="355">
        <v>0.45</v>
      </c>
      <c r="Q8" s="355">
        <v>0.4</v>
      </c>
      <c r="R8" s="355">
        <v>0.35</v>
      </c>
      <c r="S8" s="355">
        <v>0.3</v>
      </c>
      <c r="T8" s="355">
        <v>0.25</v>
      </c>
      <c r="U8" s="355">
        <v>0.2</v>
      </c>
      <c r="V8" s="355">
        <v>0.15</v>
      </c>
      <c r="W8" s="355">
        <v>0.1</v>
      </c>
      <c r="X8" s="355">
        <v>0.05</v>
      </c>
    </row>
    <row r="9" spans="1:24" ht="24.9" customHeight="1" thickBot="1" x14ac:dyDescent="0.35">
      <c r="A9" s="171"/>
      <c r="B9" s="330">
        <v>1</v>
      </c>
      <c r="C9" s="331"/>
      <c r="D9" s="332"/>
      <c r="E9" s="332"/>
      <c r="F9" s="333"/>
      <c r="G9" s="333"/>
      <c r="H9" s="333"/>
      <c r="I9" s="361"/>
      <c r="J9" s="353"/>
      <c r="K9" s="333"/>
    </row>
    <row r="10" spans="1:24" ht="24.9" customHeight="1" thickTop="1" thickBot="1" x14ac:dyDescent="0.35">
      <c r="A10" s="171"/>
      <c r="B10" s="334">
        <v>2</v>
      </c>
      <c r="C10" s="335"/>
      <c r="D10" s="336"/>
      <c r="E10" s="337"/>
      <c r="F10" s="338"/>
      <c r="G10" s="338"/>
      <c r="H10" s="338"/>
      <c r="I10" s="350"/>
      <c r="J10" s="354"/>
      <c r="K10" s="338"/>
    </row>
    <row r="11" spans="1:24" ht="24.9" customHeight="1" thickTop="1" thickBot="1" x14ac:dyDescent="0.35">
      <c r="A11" s="171"/>
      <c r="B11" s="334">
        <v>3</v>
      </c>
      <c r="C11" s="335"/>
      <c r="D11" s="336"/>
      <c r="E11" s="336"/>
      <c r="F11" s="338"/>
      <c r="G11" s="338"/>
      <c r="H11" s="338"/>
      <c r="I11" s="350"/>
      <c r="J11" s="354"/>
      <c r="K11" s="338"/>
    </row>
    <row r="12" spans="1:24" ht="24.9" customHeight="1" thickTop="1" thickBot="1" x14ac:dyDescent="0.35">
      <c r="A12" s="171"/>
      <c r="B12" s="334">
        <v>4</v>
      </c>
      <c r="C12" s="335"/>
      <c r="D12" s="336"/>
      <c r="E12" s="336"/>
      <c r="F12" s="352"/>
      <c r="G12" s="352"/>
      <c r="H12" s="352"/>
      <c r="I12" s="350"/>
      <c r="J12" s="354"/>
      <c r="K12" s="338"/>
    </row>
    <row r="13" spans="1:24" ht="24.9" customHeight="1" thickTop="1" thickBot="1" x14ac:dyDescent="0.35">
      <c r="A13" s="171"/>
      <c r="B13" s="334">
        <v>5</v>
      </c>
      <c r="C13" s="335"/>
      <c r="D13" s="336"/>
      <c r="E13" s="337"/>
      <c r="F13" s="338"/>
      <c r="G13" s="338"/>
      <c r="H13" s="338"/>
      <c r="I13" s="338"/>
      <c r="J13" s="354"/>
      <c r="K13" s="338"/>
    </row>
    <row r="14" spans="1:24" ht="24.9" customHeight="1" thickTop="1" thickBot="1" x14ac:dyDescent="0.35">
      <c r="A14" s="171"/>
      <c r="B14" s="334">
        <v>6</v>
      </c>
      <c r="C14" s="335"/>
      <c r="D14" s="336"/>
      <c r="E14" s="337"/>
      <c r="F14" s="338"/>
      <c r="G14" s="338"/>
      <c r="H14" s="338"/>
      <c r="I14" s="338"/>
      <c r="J14" s="354"/>
      <c r="K14" s="338"/>
    </row>
    <row r="15" spans="1:24" ht="24.9" customHeight="1" thickTop="1" thickBot="1" x14ac:dyDescent="0.35">
      <c r="A15" s="171"/>
      <c r="B15" s="334">
        <v>7</v>
      </c>
      <c r="C15" s="335"/>
      <c r="D15" s="336"/>
      <c r="E15" s="337"/>
      <c r="F15" s="338"/>
      <c r="G15" s="338"/>
      <c r="H15" s="338"/>
      <c r="I15" s="338"/>
      <c r="J15" s="338"/>
      <c r="K15" s="338"/>
    </row>
    <row r="16" spans="1:24" ht="24.9" customHeight="1" thickTop="1" thickBot="1" x14ac:dyDescent="0.35">
      <c r="A16" s="171"/>
      <c r="B16" s="334">
        <v>8</v>
      </c>
      <c r="C16" s="335"/>
      <c r="D16" s="336"/>
      <c r="E16" s="337"/>
      <c r="F16" s="338"/>
      <c r="G16" s="338"/>
      <c r="H16" s="338"/>
      <c r="I16" s="338"/>
      <c r="J16" s="338"/>
      <c r="K16" s="338"/>
    </row>
    <row r="17" spans="1:14" ht="24.9" customHeight="1" thickTop="1" thickBot="1" x14ac:dyDescent="0.35">
      <c r="A17" s="171"/>
      <c r="B17" s="334">
        <v>9</v>
      </c>
      <c r="C17" s="335"/>
      <c r="D17" s="336"/>
      <c r="E17" s="337"/>
      <c r="F17" s="338"/>
      <c r="G17" s="338"/>
      <c r="H17" s="338"/>
      <c r="I17" s="338"/>
      <c r="J17" s="338"/>
      <c r="K17" s="338"/>
    </row>
    <row r="18" spans="1:14" ht="24.9" customHeight="1" thickTop="1" thickBot="1" x14ac:dyDescent="0.35">
      <c r="A18" s="171"/>
      <c r="B18" s="334">
        <v>10</v>
      </c>
      <c r="C18" s="335"/>
      <c r="D18" s="336"/>
      <c r="E18" s="336"/>
      <c r="F18" s="338"/>
      <c r="G18" s="338"/>
      <c r="H18" s="338"/>
      <c r="I18" s="338"/>
      <c r="J18" s="338"/>
      <c r="K18" s="338"/>
      <c r="N18" s="309"/>
    </row>
    <row r="19" spans="1:14" ht="24.9" customHeight="1" thickTop="1" thickBot="1" x14ac:dyDescent="0.35">
      <c r="A19" s="171"/>
      <c r="B19" s="334">
        <v>11</v>
      </c>
      <c r="C19" s="335"/>
      <c r="D19" s="336"/>
      <c r="E19" s="336"/>
      <c r="F19" s="338"/>
      <c r="G19" s="338"/>
      <c r="H19" s="338"/>
      <c r="I19" s="338"/>
      <c r="J19" s="338"/>
      <c r="K19" s="338"/>
    </row>
    <row r="20" spans="1:14" ht="15" thickTop="1" x14ac:dyDescent="0.3">
      <c r="A20" s="171"/>
      <c r="B20" s="322"/>
      <c r="C20" s="323"/>
      <c r="D20" s="324"/>
      <c r="E20" s="325"/>
      <c r="F20" s="326"/>
      <c r="G20" s="326"/>
      <c r="H20" s="326"/>
      <c r="I20" s="326"/>
      <c r="J20" s="326"/>
      <c r="K20" s="329"/>
    </row>
    <row r="21" spans="1:14" x14ac:dyDescent="0.3">
      <c r="A21" s="171"/>
      <c r="B21" s="327"/>
      <c r="C21" s="327"/>
      <c r="D21" s="327"/>
      <c r="E21" s="327"/>
      <c r="F21" s="328"/>
      <c r="G21" s="328"/>
      <c r="H21" s="339"/>
      <c r="I21" s="339"/>
      <c r="J21" s="339"/>
      <c r="K21" s="339"/>
    </row>
  </sheetData>
  <mergeCells count="2">
    <mergeCell ref="B7:K7"/>
    <mergeCell ref="M7:X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6" tint="0.39997558519241921"/>
  </sheetPr>
  <dimension ref="A1:T42"/>
  <sheetViews>
    <sheetView showGridLines="0" topLeftCell="A14" zoomScale="60" zoomScaleNormal="60" workbookViewId="0">
      <selection activeCell="D20" sqref="D20"/>
    </sheetView>
  </sheetViews>
  <sheetFormatPr defaultColWidth="9.109375" defaultRowHeight="14.4" x14ac:dyDescent="0.3"/>
  <cols>
    <col min="1" max="1" width="39.109375" style="65" customWidth="1"/>
    <col min="2" max="2" width="39.33203125" style="65" customWidth="1"/>
    <col min="3" max="3" width="4" style="65" customWidth="1"/>
    <col min="4" max="4" width="26.6640625" style="65" bestFit="1" customWidth="1"/>
    <col min="5" max="6" width="3.6640625" style="65" customWidth="1"/>
    <col min="7" max="7" width="29.88671875" style="65" bestFit="1" customWidth="1"/>
    <col min="8" max="9" width="3.6640625" style="65" customWidth="1"/>
    <col min="10" max="10" width="29.109375" style="65" bestFit="1" customWidth="1"/>
    <col min="11" max="12" width="3.6640625" style="65" customWidth="1"/>
    <col min="13" max="13" width="26.6640625" style="65" bestFit="1" customWidth="1"/>
    <col min="14" max="15" width="3.6640625" style="65" customWidth="1"/>
    <col min="16" max="16" width="26.6640625" style="65" bestFit="1" customWidth="1"/>
    <col min="17" max="17" width="3.6640625" style="65" customWidth="1"/>
    <col min="18" max="18" width="10" style="65" bestFit="1" customWidth="1"/>
    <col min="19" max="19" width="9.109375" style="65"/>
    <col min="20" max="20" width="9.33203125" style="65" bestFit="1" customWidth="1"/>
    <col min="21" max="16384" width="9.109375" style="65"/>
  </cols>
  <sheetData>
    <row r="1" spans="1:20" s="66" customFormat="1" ht="30" customHeight="1" x14ac:dyDescent="0.3">
      <c r="A1" s="6"/>
      <c r="B1" s="105"/>
      <c r="C1" s="18"/>
      <c r="D1" s="72"/>
      <c r="E1" s="73"/>
      <c r="F1" s="74"/>
      <c r="G1" s="72">
        <v>0</v>
      </c>
      <c r="H1" s="73"/>
      <c r="I1" s="74"/>
      <c r="J1" s="72">
        <v>0</v>
      </c>
      <c r="K1" s="73"/>
      <c r="L1" s="74"/>
      <c r="M1" s="72">
        <v>0</v>
      </c>
      <c r="N1" s="73"/>
      <c r="O1" s="74"/>
      <c r="P1" s="72">
        <v>0</v>
      </c>
      <c r="Q1" s="73"/>
      <c r="R1" s="423" t="s">
        <v>13</v>
      </c>
    </row>
    <row r="2" spans="1:20" ht="24.9" customHeight="1" x14ac:dyDescent="0.3">
      <c r="A2" s="2" t="s">
        <v>14</v>
      </c>
      <c r="B2" s="107" t="s">
        <v>15</v>
      </c>
      <c r="C2" s="10"/>
      <c r="D2" s="11">
        <f>D20*D3</f>
        <v>0</v>
      </c>
      <c r="E2" s="11"/>
      <c r="F2" s="10"/>
      <c r="G2" s="11">
        <f>G20*G3</f>
        <v>0</v>
      </c>
      <c r="H2" s="11"/>
      <c r="I2" s="10"/>
      <c r="J2" s="11">
        <f>J20*J3</f>
        <v>0</v>
      </c>
      <c r="K2" s="11"/>
      <c r="L2" s="10"/>
      <c r="M2" s="11">
        <f>M20*M3</f>
        <v>0</v>
      </c>
      <c r="N2" s="11"/>
      <c r="O2" s="10"/>
      <c r="P2" s="11">
        <f>P20*P3</f>
        <v>0</v>
      </c>
      <c r="Q2" s="11"/>
      <c r="R2" s="423"/>
    </row>
    <row r="3" spans="1:20" ht="24.9" customHeight="1" x14ac:dyDescent="0.3">
      <c r="A3" s="6" t="s">
        <v>16</v>
      </c>
      <c r="B3" s="105" t="s">
        <v>17</v>
      </c>
      <c r="C3" s="18"/>
      <c r="D3" s="76">
        <v>0</v>
      </c>
      <c r="E3" s="77"/>
      <c r="F3" s="74"/>
      <c r="G3" s="76">
        <v>0.1</v>
      </c>
      <c r="H3" s="77"/>
      <c r="I3" s="74"/>
      <c r="J3" s="76">
        <v>0.1</v>
      </c>
      <c r="K3" s="77"/>
      <c r="L3" s="74"/>
      <c r="M3" s="76">
        <v>0.1</v>
      </c>
      <c r="N3" s="77"/>
      <c r="O3" s="74"/>
      <c r="P3" s="76">
        <v>0.1</v>
      </c>
      <c r="Q3" s="19"/>
      <c r="R3" s="423"/>
    </row>
    <row r="4" spans="1:20" ht="24.9" customHeight="1" x14ac:dyDescent="0.3">
      <c r="A4" s="2" t="s">
        <v>18</v>
      </c>
      <c r="B4" s="107" t="s">
        <v>19</v>
      </c>
      <c r="C4" s="14"/>
      <c r="D4" s="88"/>
      <c r="E4" s="78"/>
      <c r="F4" s="79"/>
      <c r="G4" s="88"/>
      <c r="H4" s="78"/>
      <c r="I4" s="79"/>
      <c r="J4" s="88"/>
      <c r="K4" s="78"/>
      <c r="L4" s="79"/>
      <c r="M4" s="88"/>
      <c r="N4" s="78"/>
      <c r="O4" s="79"/>
      <c r="P4" s="88"/>
      <c r="Q4" s="15"/>
      <c r="R4" s="423"/>
    </row>
    <row r="5" spans="1:20" ht="24.75" customHeight="1" x14ac:dyDescent="0.3">
      <c r="A5" s="6" t="s">
        <v>20</v>
      </c>
      <c r="B5" s="105" t="s">
        <v>21</v>
      </c>
      <c r="C5" s="18"/>
      <c r="D5" s="76">
        <v>0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19"/>
      <c r="R5" s="423"/>
    </row>
    <row r="6" spans="1:20" ht="24.9" customHeight="1" x14ac:dyDescent="0.3">
      <c r="A6" s="2" t="s">
        <v>22</v>
      </c>
      <c r="B6" s="17"/>
      <c r="C6" s="10"/>
      <c r="D6" s="11">
        <f>D4*D5</f>
        <v>0</v>
      </c>
      <c r="E6" s="11"/>
      <c r="F6" s="10"/>
      <c r="G6" s="11">
        <f>G4*G5</f>
        <v>0</v>
      </c>
      <c r="H6" s="11"/>
      <c r="I6" s="10"/>
      <c r="J6" s="11">
        <f>J4*J5</f>
        <v>0</v>
      </c>
      <c r="K6" s="11"/>
      <c r="L6" s="10"/>
      <c r="M6" s="11">
        <f>M4*M5</f>
        <v>0</v>
      </c>
      <c r="N6" s="11"/>
      <c r="O6" s="10"/>
      <c r="P6" s="11">
        <f>P4*P5</f>
        <v>0</v>
      </c>
      <c r="Q6" s="11"/>
      <c r="R6" s="423"/>
    </row>
    <row r="7" spans="1:20" s="67" customFormat="1" ht="20.100000000000001" hidden="1" customHeight="1" x14ac:dyDescent="0.3">
      <c r="A7" s="55" t="s">
        <v>23</v>
      </c>
      <c r="B7" s="43" t="s">
        <v>24</v>
      </c>
      <c r="C7" s="53"/>
      <c r="D7" s="56">
        <v>0</v>
      </c>
      <c r="E7" s="57"/>
      <c r="F7" s="53"/>
      <c r="G7" s="56">
        <v>0</v>
      </c>
      <c r="H7" s="57"/>
      <c r="I7" s="53"/>
      <c r="J7" s="56">
        <v>0</v>
      </c>
      <c r="K7" s="57"/>
      <c r="L7" s="53"/>
      <c r="M7" s="56">
        <v>0</v>
      </c>
      <c r="N7" s="57"/>
      <c r="O7" s="53"/>
      <c r="P7" s="56">
        <v>0</v>
      </c>
      <c r="Q7" s="57"/>
      <c r="R7" s="423"/>
    </row>
    <row r="8" spans="1:20" ht="1.5" customHeight="1" x14ac:dyDescent="0.3">
      <c r="A8" s="58" t="s">
        <v>25</v>
      </c>
      <c r="B8" s="43"/>
      <c r="C8" s="54"/>
      <c r="D8" s="52">
        <f>D4*D7</f>
        <v>0</v>
      </c>
      <c r="E8" s="52"/>
      <c r="F8" s="54"/>
      <c r="G8" s="52">
        <f>G4*G7</f>
        <v>0</v>
      </c>
      <c r="H8" s="52"/>
      <c r="I8" s="54"/>
      <c r="J8" s="52">
        <f>J4*J7</f>
        <v>0</v>
      </c>
      <c r="K8" s="52"/>
      <c r="L8" s="54"/>
      <c r="M8" s="52">
        <f>M4*M7</f>
        <v>0</v>
      </c>
      <c r="N8" s="52"/>
      <c r="O8" s="54"/>
      <c r="P8" s="52">
        <f>P4*P7</f>
        <v>0</v>
      </c>
      <c r="Q8" s="52"/>
      <c r="R8" s="423"/>
    </row>
    <row r="9" spans="1:20" ht="30" customHeight="1" x14ac:dyDescent="0.3">
      <c r="A9" s="63" t="s">
        <v>26</v>
      </c>
      <c r="B9" s="59"/>
      <c r="C9" s="60"/>
      <c r="D9" s="61">
        <f>D1+D2+D4-D6-D8</f>
        <v>0</v>
      </c>
      <c r="E9" s="62"/>
      <c r="F9" s="60"/>
      <c r="G9" s="61">
        <f>G1+G2+G4-G6-G8</f>
        <v>0</v>
      </c>
      <c r="H9" s="62"/>
      <c r="I9" s="60"/>
      <c r="J9" s="61">
        <f>J1+J2+J4-J6-J8</f>
        <v>0</v>
      </c>
      <c r="K9" s="62"/>
      <c r="L9" s="60"/>
      <c r="M9" s="61">
        <f>M1+M2+M4-M6-M8</f>
        <v>0</v>
      </c>
      <c r="N9" s="62"/>
      <c r="O9" s="60"/>
      <c r="P9" s="61">
        <f>P1+P2+P4-P6-P8</f>
        <v>0</v>
      </c>
      <c r="Q9" s="62"/>
      <c r="R9" s="423"/>
      <c r="T9" s="68"/>
    </row>
    <row r="10" spans="1:20" ht="0.75" customHeight="1" x14ac:dyDescent="0.3">
      <c r="A10" s="47" t="s">
        <v>27</v>
      </c>
      <c r="B10" s="44"/>
      <c r="C10" s="48"/>
      <c r="D10" s="49">
        <v>0</v>
      </c>
      <c r="E10" s="49"/>
      <c r="F10" s="48"/>
      <c r="G10" s="49">
        <v>0</v>
      </c>
      <c r="H10" s="49"/>
      <c r="I10" s="48"/>
      <c r="J10" s="49">
        <v>0</v>
      </c>
      <c r="K10" s="49"/>
      <c r="L10" s="48"/>
      <c r="M10" s="49">
        <v>0</v>
      </c>
      <c r="N10" s="49"/>
      <c r="O10" s="48"/>
      <c r="P10" s="49">
        <v>0</v>
      </c>
      <c r="Q10" s="49"/>
      <c r="R10" s="424" t="s">
        <v>13</v>
      </c>
    </row>
    <row r="11" spans="1:20" ht="0.75" customHeight="1" x14ac:dyDescent="0.3">
      <c r="A11" s="50" t="s">
        <v>28</v>
      </c>
      <c r="B11" s="51"/>
      <c r="C11" s="52"/>
      <c r="D11" s="52">
        <f>D20*D10</f>
        <v>0</v>
      </c>
      <c r="E11" s="52"/>
      <c r="F11" s="52"/>
      <c r="G11" s="52">
        <f>G20*G10</f>
        <v>0</v>
      </c>
      <c r="H11" s="52"/>
      <c r="I11" s="52"/>
      <c r="J11" s="52">
        <f>J20*J10</f>
        <v>0</v>
      </c>
      <c r="K11" s="52"/>
      <c r="L11" s="52"/>
      <c r="M11" s="52">
        <f>M20*M10</f>
        <v>0</v>
      </c>
      <c r="N11" s="52"/>
      <c r="O11" s="52"/>
      <c r="P11" s="52">
        <f>P20*P10</f>
        <v>0</v>
      </c>
      <c r="Q11" s="52"/>
      <c r="R11" s="424"/>
    </row>
    <row r="12" spans="1:20" ht="24.9" customHeight="1" x14ac:dyDescent="0.3">
      <c r="A12" s="3" t="s">
        <v>29</v>
      </c>
      <c r="B12" s="64" t="s">
        <v>30</v>
      </c>
      <c r="C12" s="45"/>
      <c r="D12" s="80">
        <v>0</v>
      </c>
      <c r="E12" s="81"/>
      <c r="F12" s="82"/>
      <c r="G12" s="83">
        <v>0.02</v>
      </c>
      <c r="H12" s="81"/>
      <c r="I12" s="82"/>
      <c r="J12" s="84">
        <v>0.02</v>
      </c>
      <c r="K12" s="81"/>
      <c r="L12" s="82"/>
      <c r="M12" s="84">
        <v>0.02</v>
      </c>
      <c r="N12" s="81"/>
      <c r="O12" s="82"/>
      <c r="P12" s="84">
        <v>0.02</v>
      </c>
      <c r="Q12" s="46"/>
      <c r="R12" s="425" t="s">
        <v>31</v>
      </c>
    </row>
    <row r="13" spans="1:20" ht="24.9" customHeight="1" x14ac:dyDescent="0.3">
      <c r="A13" s="4" t="s">
        <v>32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24.9" customHeight="1" x14ac:dyDescent="0.3">
      <c r="A14" s="3" t="s">
        <v>33</v>
      </c>
      <c r="B14" s="64" t="s">
        <v>34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39"/>
      <c r="R14" s="425"/>
    </row>
    <row r="15" spans="1:20" ht="24.9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24.9" customHeight="1" x14ac:dyDescent="0.3">
      <c r="A16" s="3"/>
      <c r="B16" s="64"/>
      <c r="C16" s="38"/>
      <c r="D16" s="308"/>
      <c r="E16" s="86"/>
      <c r="F16" s="87"/>
      <c r="G16" s="308"/>
      <c r="H16" s="86"/>
      <c r="I16" s="87"/>
      <c r="J16" s="308"/>
      <c r="K16" s="86"/>
      <c r="L16" s="87"/>
      <c r="M16" s="308"/>
      <c r="N16" s="86"/>
      <c r="O16" s="87"/>
      <c r="P16" s="308"/>
      <c r="Q16" s="39"/>
      <c r="R16" s="425"/>
    </row>
    <row r="17" spans="1:18" ht="24.9" customHeight="1" x14ac:dyDescent="0.3">
      <c r="A17" s="4"/>
      <c r="B17" s="26"/>
      <c r="C17" s="13"/>
      <c r="D17" s="13">
        <f>D20*D16</f>
        <v>0</v>
      </c>
      <c r="E17" s="13"/>
      <c r="F17" s="13"/>
      <c r="G17" s="13">
        <f>G20*G16</f>
        <v>0</v>
      </c>
      <c r="H17" s="13"/>
      <c r="I17" s="13"/>
      <c r="J17" s="13">
        <f>J20*J16</f>
        <v>0</v>
      </c>
      <c r="K17" s="13"/>
      <c r="L17" s="13"/>
      <c r="M17" s="13">
        <f>M20*M16</f>
        <v>0</v>
      </c>
      <c r="N17" s="13"/>
      <c r="O17" s="13"/>
      <c r="P17" s="13">
        <f>P20*P16</f>
        <v>0</v>
      </c>
      <c r="Q17" s="13"/>
      <c r="R17" s="425"/>
    </row>
    <row r="18" spans="1:18" ht="24.9" customHeight="1" x14ac:dyDescent="0.3">
      <c r="A18" s="3" t="s">
        <v>36</v>
      </c>
      <c r="B18" s="64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39"/>
      <c r="R18" s="425"/>
    </row>
    <row r="19" spans="1:18" ht="24.9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24.9" customHeight="1" thickBot="1" x14ac:dyDescent="0.35">
      <c r="A20" s="3" t="s">
        <v>39</v>
      </c>
      <c r="B20" s="23" t="s">
        <v>40</v>
      </c>
      <c r="C20" s="27"/>
      <c r="D20" s="274"/>
      <c r="E20" s="275"/>
      <c r="F20" s="276"/>
      <c r="G20" s="274"/>
      <c r="H20" s="275"/>
      <c r="I20" s="276"/>
      <c r="J20" s="274"/>
      <c r="K20" s="275"/>
      <c r="L20" s="276"/>
      <c r="M20" s="274"/>
      <c r="N20" s="275"/>
      <c r="O20" s="276"/>
      <c r="P20" s="274"/>
      <c r="Q20" s="28"/>
      <c r="R20" s="425"/>
    </row>
    <row r="21" spans="1:18" ht="24.9" customHeight="1" thickBot="1" x14ac:dyDescent="0.35">
      <c r="A21" s="7" t="s">
        <v>41</v>
      </c>
      <c r="B21" s="33"/>
      <c r="C21" s="29"/>
      <c r="D21" s="30" t="str">
        <f>IFERROR(IF(D9="","",(D20-D17-D15-D13-D11-D9-D19)/D9),"")</f>
        <v/>
      </c>
      <c r="E21" s="31"/>
      <c r="F21" s="29"/>
      <c r="G21" s="30" t="str">
        <f>IFERROR(IF(G9="","",(G20-G17-G15-G13-G11-G9-G19)/G9),"")</f>
        <v/>
      </c>
      <c r="H21" s="31"/>
      <c r="I21" s="29"/>
      <c r="J21" s="30" t="str">
        <f>IFERROR(IF(J9="","",(J20-J17-J15-J13-J11-J9-J19)/J9),"")</f>
        <v/>
      </c>
      <c r="K21" s="31"/>
      <c r="L21" s="29"/>
      <c r="M21" s="30" t="str">
        <f>IFERROR(IF(M9="","",(M20-M17-M15-M13-M11-M9-M19)/M9),"")</f>
        <v/>
      </c>
      <c r="N21" s="31"/>
      <c r="O21" s="29"/>
      <c r="P21" s="30" t="str">
        <f>IFERROR(IF(P9="","",(P20-P17-P15-P13-P11-P9-P19)/P9),"")</f>
        <v/>
      </c>
      <c r="Q21" s="31"/>
      <c r="R21" s="426" t="s">
        <v>42</v>
      </c>
    </row>
    <row r="22" spans="1:18" ht="24.9" customHeight="1" x14ac:dyDescent="0.3">
      <c r="A22" s="8" t="s">
        <v>43</v>
      </c>
      <c r="B22" s="24"/>
      <c r="C22" s="25"/>
      <c r="D22" s="34" t="str">
        <f>IF(D21="","",D20/D9-1)</f>
        <v/>
      </c>
      <c r="E22" s="34"/>
      <c r="F22" s="25"/>
      <c r="G22" s="34" t="str">
        <f>IF(G21="","",G20/G9-1)</f>
        <v/>
      </c>
      <c r="H22" s="34"/>
      <c r="I22" s="25"/>
      <c r="J22" s="34" t="str">
        <f>IF(J21="","",J20/J9-1)</f>
        <v/>
      </c>
      <c r="K22" s="34"/>
      <c r="L22" s="25"/>
      <c r="M22" s="34" t="str">
        <f>IF(M21="","",M20/M9-1)</f>
        <v/>
      </c>
      <c r="N22" s="34"/>
      <c r="O22" s="25"/>
      <c r="P22" s="34" t="str">
        <f>IF(P21="","",P20/P9-1)</f>
        <v/>
      </c>
      <c r="Q22" s="34"/>
      <c r="R22" s="426"/>
    </row>
    <row r="23" spans="1:18" ht="24.9" customHeight="1" x14ac:dyDescent="0.3">
      <c r="A23" s="431" t="s">
        <v>44</v>
      </c>
      <c r="B23" s="89"/>
      <c r="C23" s="90"/>
      <c r="D23" s="91">
        <v>0</v>
      </c>
      <c r="E23" s="91"/>
      <c r="F23" s="90"/>
      <c r="G23" s="91">
        <v>0</v>
      </c>
      <c r="H23" s="91"/>
      <c r="I23" s="90"/>
      <c r="J23" s="91">
        <v>0</v>
      </c>
      <c r="K23" s="91"/>
      <c r="L23" s="90"/>
      <c r="M23" s="91">
        <v>0</v>
      </c>
      <c r="N23" s="91"/>
      <c r="O23" s="90"/>
      <c r="P23" s="91">
        <v>0</v>
      </c>
      <c r="Q23" s="91"/>
      <c r="R23" s="432" t="s">
        <v>45</v>
      </c>
    </row>
    <row r="24" spans="1:18" ht="24.9" customHeight="1" x14ac:dyDescent="0.3">
      <c r="A24" s="431"/>
      <c r="B24" s="92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432"/>
    </row>
    <row r="25" spans="1:18" ht="25.5" customHeight="1" thickBot="1" x14ac:dyDescent="0.35"/>
    <row r="26" spans="1:18" ht="43.5" customHeight="1" thickBot="1" x14ac:dyDescent="0.35">
      <c r="B26" s="314" t="s">
        <v>46</v>
      </c>
      <c r="C26" s="343"/>
      <c r="D26" s="315"/>
      <c r="E26" s="401"/>
      <c r="F26" s="402"/>
      <c r="G26" s="315"/>
      <c r="H26" s="401"/>
      <c r="I26" s="402"/>
      <c r="J26" s="315"/>
      <c r="K26" s="401"/>
      <c r="L26" s="402"/>
      <c r="M26" s="315"/>
      <c r="N26" s="401"/>
      <c r="O26" s="402"/>
      <c r="P26" s="315"/>
      <c r="Q26" s="344"/>
    </row>
    <row r="27" spans="1:18" ht="35.25" customHeight="1" thickBot="1" x14ac:dyDescent="0.35">
      <c r="B27" s="427" t="s">
        <v>47</v>
      </c>
      <c r="C27" s="428"/>
      <c r="D27" s="315"/>
      <c r="E27" s="403"/>
      <c r="F27" s="402"/>
      <c r="G27" s="315"/>
      <c r="H27" s="401"/>
      <c r="I27" s="402"/>
      <c r="J27" s="315"/>
      <c r="K27" s="401"/>
      <c r="L27" s="402"/>
      <c r="M27" s="315"/>
      <c r="N27" s="401"/>
      <c r="O27" s="402"/>
      <c r="P27" s="315"/>
      <c r="Q27" s="345"/>
    </row>
    <row r="28" spans="1:18" ht="36" customHeight="1" thickBot="1" x14ac:dyDescent="0.35">
      <c r="B28" s="429" t="s">
        <v>48</v>
      </c>
      <c r="C28" s="430"/>
      <c r="D28" s="404">
        <f>IFERROR(D20*D27,"")</f>
        <v>0</v>
      </c>
      <c r="E28" s="401"/>
      <c r="F28" s="405"/>
      <c r="G28" s="404">
        <f>IFERROR(G20*G27,"")</f>
        <v>0</v>
      </c>
      <c r="H28" s="401"/>
      <c r="I28" s="405"/>
      <c r="J28" s="404">
        <f>IFERROR(J20*J27,"")</f>
        <v>0</v>
      </c>
      <c r="K28" s="401"/>
      <c r="L28" s="405"/>
      <c r="M28" s="404">
        <f>IFERROR(M20*M27,"")</f>
        <v>0</v>
      </c>
      <c r="N28" s="401"/>
      <c r="O28" s="405"/>
      <c r="P28" s="404">
        <f>IFERROR(P20*P27,"")</f>
        <v>0</v>
      </c>
      <c r="Q28" s="344"/>
    </row>
    <row r="29" spans="1:18" ht="15" thickBot="1" x14ac:dyDescent="0.35"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</row>
    <row r="30" spans="1:18" ht="33.75" customHeight="1" thickBot="1" x14ac:dyDescent="0.35">
      <c r="B30" s="314" t="s">
        <v>49</v>
      </c>
      <c r="C30" s="343"/>
      <c r="D30" s="407"/>
      <c r="E30" s="406"/>
      <c r="F30" s="406"/>
      <c r="G30" s="407"/>
      <c r="H30" s="406"/>
      <c r="I30" s="406"/>
      <c r="J30" s="407"/>
      <c r="K30" s="406"/>
      <c r="L30" s="406"/>
      <c r="M30" s="407"/>
      <c r="N30" s="406"/>
      <c r="O30" s="406"/>
      <c r="P30" s="407"/>
    </row>
    <row r="31" spans="1:18" ht="15" thickBot="1" x14ac:dyDescent="0.35"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</row>
    <row r="32" spans="1:18" ht="38.25" customHeight="1" thickBot="1" x14ac:dyDescent="0.35">
      <c r="B32" s="427" t="s">
        <v>50</v>
      </c>
      <c r="C32" s="428"/>
      <c r="D32" s="408">
        <f>IFERROR(D9*D27,"")</f>
        <v>0</v>
      </c>
      <c r="E32" s="406"/>
      <c r="F32" s="406"/>
      <c r="G32" s="408">
        <f>IFERROR(G9*G27,"")</f>
        <v>0</v>
      </c>
      <c r="H32" s="406"/>
      <c r="I32" s="406"/>
      <c r="J32" s="408">
        <f>IFERROR(J9*J27,"")</f>
        <v>0</v>
      </c>
      <c r="K32" s="406"/>
      <c r="L32" s="406"/>
      <c r="M32" s="408">
        <f>IFERROR(M9*M27,"")</f>
        <v>0</v>
      </c>
      <c r="N32" s="406"/>
      <c r="O32" s="406"/>
      <c r="P32" s="408">
        <f>IFERROR(P9*P27,"")</f>
        <v>0</v>
      </c>
    </row>
    <row r="33" spans="2:16" ht="26.1" customHeight="1" thickBot="1" x14ac:dyDescent="0.35">
      <c r="B33" s="427" t="s">
        <v>51</v>
      </c>
      <c r="C33" s="428"/>
      <c r="D33" s="408">
        <f>IFERROR(((D13+D15+D17+D19)*D27),"")</f>
        <v>0</v>
      </c>
      <c r="E33" s="406"/>
      <c r="F33" s="406"/>
      <c r="G33" s="408">
        <f>IFERROR(((G13+G15+G17+G19)*G27),"")</f>
        <v>0</v>
      </c>
      <c r="H33" s="406"/>
      <c r="I33" s="406"/>
      <c r="J33" s="408">
        <f>IFERROR(((J13+J15+J17+J19)*J27),"")</f>
        <v>0</v>
      </c>
      <c r="K33" s="406"/>
      <c r="L33" s="406"/>
      <c r="M33" s="408">
        <f>IFERROR(((M13+M15+M17+M19)*M27),"")</f>
        <v>0</v>
      </c>
      <c r="N33" s="406"/>
      <c r="O33" s="406"/>
      <c r="P33" s="408">
        <f>IFERROR(((P13+P15+P17+P19)*P27),"")</f>
        <v>0</v>
      </c>
    </row>
    <row r="34" spans="2:16" ht="15" thickBot="1" x14ac:dyDescent="0.35"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</row>
    <row r="35" spans="2:16" ht="21.9" customHeight="1" thickBot="1" x14ac:dyDescent="0.35">
      <c r="B35" s="427" t="s">
        <v>52</v>
      </c>
      <c r="C35" s="428"/>
      <c r="D35" s="399"/>
      <c r="E35" s="406"/>
      <c r="F35" s="406"/>
      <c r="G35" s="399"/>
      <c r="H35" s="406"/>
      <c r="I35" s="406"/>
      <c r="J35" s="399"/>
      <c r="K35" s="406"/>
      <c r="L35" s="406"/>
      <c r="M35" s="399"/>
      <c r="N35" s="406"/>
      <c r="O35" s="406"/>
      <c r="P35" s="399"/>
    </row>
    <row r="36" spans="2:16" ht="15" thickBot="1" x14ac:dyDescent="0.35"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</row>
    <row r="37" spans="2:16" ht="21.9" customHeight="1" thickBot="1" x14ac:dyDescent="0.35">
      <c r="B37" s="314" t="s">
        <v>53</v>
      </c>
      <c r="C37" s="343"/>
      <c r="D37" s="346" t="str">
        <f>IFERROR(IF(D9="","",((D20-D17-D15-D13-D11-D9-D19)-((D20-D17-D15-D13-D11-D9-D19+D2)*D35))/D20),"")</f>
        <v/>
      </c>
      <c r="E37" s="409"/>
      <c r="F37" s="409"/>
      <c r="G37" s="346" t="str">
        <f>IFERROR(IF(G9="","",((G20-G17-G15-G13-G11-G9-G19)-((G20-G17-G15-G13-G11-G9-G19+G2)*G35))/G20),"")</f>
        <v/>
      </c>
      <c r="H37" s="409"/>
      <c r="I37" s="409"/>
      <c r="J37" s="346" t="str">
        <f>IFERROR(IF(J9="","",((J20-J17-J15-J13-J11-J9-J19)-((J20-J17-J15-J13-J11-J9-J19+J2)*J35))/J20),"")</f>
        <v/>
      </c>
      <c r="K37" s="409"/>
      <c r="L37" s="409"/>
      <c r="M37" s="346" t="str">
        <f>IFERROR(IF(M9="","",((M20-M17-M15-M13-M11-M9-M19)-((M20-M17-M15-M13-M11-M9-M19+M2)*M35))/M20),"")</f>
        <v/>
      </c>
      <c r="N37" s="409"/>
      <c r="O37" s="409"/>
      <c r="P37" s="346" t="str">
        <f>IFERROR(IF(P9="","",((P20-P17-P15-P13-P11-P9-P19)-((P20-P17-P15-P13-P11-P9-P19+P2)*P35))/P20),"")</f>
        <v/>
      </c>
    </row>
    <row r="38" spans="2:16" ht="21.9" customHeight="1" thickBot="1" x14ac:dyDescent="0.35">
      <c r="B38" s="397" t="s">
        <v>54</v>
      </c>
      <c r="C38" s="398"/>
      <c r="D38" s="410" t="str">
        <f>IFERROR((D37*D28),"")</f>
        <v/>
      </c>
      <c r="E38" s="406"/>
      <c r="F38" s="406"/>
      <c r="G38" s="410" t="str">
        <f>IFERROR((G37*G28),"")</f>
        <v/>
      </c>
      <c r="H38" s="406"/>
      <c r="I38" s="406"/>
      <c r="J38" s="410" t="str">
        <f>IFERROR((J37*J28),"")</f>
        <v/>
      </c>
      <c r="K38" s="406"/>
      <c r="L38" s="406"/>
      <c r="M38" s="410" t="str">
        <f>IFERROR((M37*M28),"")</f>
        <v/>
      </c>
      <c r="N38" s="406"/>
      <c r="O38" s="406"/>
      <c r="P38" s="410" t="str">
        <f>IFERROR((P37*P28),"")</f>
        <v/>
      </c>
    </row>
    <row r="39" spans="2:16" ht="15" thickBot="1" x14ac:dyDescent="0.35">
      <c r="D39" s="406"/>
      <c r="E39" s="406"/>
      <c r="F39" s="406"/>
      <c r="G39" s="406"/>
      <c r="H39" s="406"/>
      <c r="I39" s="406"/>
      <c r="J39" s="406"/>
      <c r="K39" s="406"/>
      <c r="L39" s="406"/>
      <c r="M39" s="406"/>
      <c r="N39" s="406"/>
      <c r="O39" s="406"/>
      <c r="P39" s="406"/>
    </row>
    <row r="40" spans="2:16" ht="24.6" customHeight="1" thickBot="1" x14ac:dyDescent="0.35">
      <c r="B40" s="427" t="s">
        <v>55</v>
      </c>
      <c r="C40" s="428"/>
      <c r="D40" s="400"/>
      <c r="E40" s="406"/>
      <c r="F40" s="406"/>
      <c r="G40" s="400"/>
      <c r="H40" s="406"/>
      <c r="I40" s="406"/>
      <c r="J40" s="400"/>
      <c r="K40" s="406"/>
      <c r="L40" s="406"/>
      <c r="M40" s="400"/>
      <c r="N40" s="406"/>
      <c r="O40" s="406"/>
      <c r="P40" s="400"/>
    </row>
    <row r="41" spans="2:16" ht="23.4" customHeight="1" thickBot="1" x14ac:dyDescent="0.35">
      <c r="B41" s="427" t="s">
        <v>56</v>
      </c>
      <c r="C41" s="428"/>
      <c r="D41" s="346" t="str">
        <f>IFERROR(IF(D9="","",((D20-D17-D15-D13-D11-D9-D19)-((D20-D17-D15-D13-D11-D9-D19+D2)*D35)-(D40*D20))/D20),"")</f>
        <v/>
      </c>
      <c r="E41" s="406"/>
      <c r="F41" s="406"/>
      <c r="G41" s="346" t="str">
        <f>IFERROR(IF(G9="","",((G20-G17-G15-G13-G11-G9-G19)-((G20-G17-G15-G13-G11-G9-G19+G2)*G35)-(G40*G20))/G20),"")</f>
        <v/>
      </c>
      <c r="H41" s="406"/>
      <c r="I41" s="406"/>
      <c r="J41" s="346" t="str">
        <f>IFERROR(IF(J9="","",((J20-J17-J15-J13-J11-J9-J19)-((J20-J17-J15-J13-J11-J9-J19+J2)*J35)-(J40*J20))/J20),"")</f>
        <v/>
      </c>
      <c r="K41" s="406"/>
      <c r="L41" s="406"/>
      <c r="M41" s="346" t="str">
        <f>IFERROR(IF(M9="","",((M20-M17-M15-M13-M11-M9-M19)-((M20-M17-M15-M13-M11-M9-M19+M2)*M35)-(M40*M20))/M20),"")</f>
        <v/>
      </c>
      <c r="N41" s="406"/>
      <c r="O41" s="406"/>
      <c r="P41" s="346" t="str">
        <f>IFERROR(IF(P9="","",((P20-P17-P15-P13-P11-P9-P19)-((P20-P17-P15-P13-P11-P9-P19+P2)*P35)-(P40*P20))/P20),"")</f>
        <v/>
      </c>
    </row>
    <row r="42" spans="2:16" ht="24.9" customHeight="1" thickBot="1" x14ac:dyDescent="0.35">
      <c r="B42" s="429" t="s">
        <v>57</v>
      </c>
      <c r="C42" s="430"/>
      <c r="D42" s="410">
        <f>IFERROR((D38-(D40*D20)),0)</f>
        <v>0</v>
      </c>
      <c r="E42" s="406"/>
      <c r="F42" s="406"/>
      <c r="G42" s="410">
        <f>IFERROR((G38-(G40*G20)),0)</f>
        <v>0</v>
      </c>
      <c r="H42" s="406"/>
      <c r="I42" s="406"/>
      <c r="J42" s="410">
        <f>IFERROR((J38-(J40*J20)),0)</f>
        <v>0</v>
      </c>
      <c r="K42" s="406"/>
      <c r="L42" s="406"/>
      <c r="M42" s="410">
        <f>IFERROR((M38-(M40*M20)),0)</f>
        <v>0</v>
      </c>
      <c r="N42" s="406"/>
      <c r="O42" s="406"/>
      <c r="P42" s="410">
        <f>IFERROR((P38-(P40*P20)),0)</f>
        <v>0</v>
      </c>
    </row>
  </sheetData>
  <sheetProtection sheet="1" objects="1" scenarios="1"/>
  <mergeCells count="14">
    <mergeCell ref="B41:C41"/>
    <mergeCell ref="B42:C42"/>
    <mergeCell ref="A23:A24"/>
    <mergeCell ref="R23:R24"/>
    <mergeCell ref="B32:C32"/>
    <mergeCell ref="B33:C33"/>
    <mergeCell ref="B40:C40"/>
    <mergeCell ref="R1:R9"/>
    <mergeCell ref="R10:R11"/>
    <mergeCell ref="R12:R20"/>
    <mergeCell ref="R21:R22"/>
    <mergeCell ref="B35:C35"/>
    <mergeCell ref="B28:C28"/>
    <mergeCell ref="B27:C2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ignoredErrors>
    <ignoredError sqref="Q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7" r:id="rId4" name="Button 97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5" name="Button 98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6" name="Button 100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7" name="Button 101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8" name="Button 102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9" name="Button 103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10" name="Button 104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11" name="Button 105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12" name="Button 106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13" name="Button 107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14" name="Button 108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15" name="Button 109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16" name="Button 110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17" name="Button 111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18" name="Button 112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19" name="Button 113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20" name="Button 114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21" name="Button 115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22" name="Button 116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23" name="Button 117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24" name="Button 118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25" name="Button 119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26" name="Button 120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27" name="Button 121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28" name="Button 122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29" name="Button 123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30" name="Button 124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31" name="Button 125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32" name="Button 126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33" name="Button 127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34" name="Button 128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35" name="Button 129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36" name="Button 130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37" name="Button 131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38" name="Button 132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39" name="Button 133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40" name="Button 134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41" name="Button 135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42" name="Button 136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43" name="Button 137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44" name="Button 138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45" name="Button 139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46" name="Button 140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47" name="Button 141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48" name="Button 142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49" name="Button 143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50" name="Button 144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>
    <tabColor theme="6" tint="0.39997558519241921"/>
  </sheetPr>
  <dimension ref="A1:T44"/>
  <sheetViews>
    <sheetView showGridLines="0" topLeftCell="A14" zoomScale="60" zoomScaleNormal="60" workbookViewId="0">
      <selection activeCell="D40" sqref="D40"/>
    </sheetView>
  </sheetViews>
  <sheetFormatPr defaultColWidth="9.109375" defaultRowHeight="14.4" x14ac:dyDescent="0.3"/>
  <cols>
    <col min="1" max="1" width="39.109375" style="65" customWidth="1"/>
    <col min="2" max="2" width="39.33203125" style="65" customWidth="1"/>
    <col min="3" max="3" width="4" style="65" customWidth="1"/>
    <col min="4" max="4" width="26.6640625" style="65" bestFit="1" customWidth="1"/>
    <col min="5" max="6" width="3.6640625" style="65" customWidth="1"/>
    <col min="7" max="7" width="26.6640625" style="65" bestFit="1" customWidth="1"/>
    <col min="8" max="9" width="3.6640625" style="65" customWidth="1"/>
    <col min="10" max="10" width="26.6640625" style="65" bestFit="1" customWidth="1"/>
    <col min="11" max="12" width="3.6640625" style="65" customWidth="1"/>
    <col min="13" max="13" width="26.6640625" style="65" bestFit="1" customWidth="1"/>
    <col min="14" max="15" width="3.6640625" style="65" customWidth="1"/>
    <col min="16" max="16" width="26.6640625" style="65" bestFit="1" customWidth="1"/>
    <col min="17" max="17" width="3.6640625" style="65" customWidth="1"/>
    <col min="18" max="18" width="10" style="65" bestFit="1" customWidth="1"/>
    <col min="19" max="19" width="9.109375" style="65"/>
    <col min="20" max="20" width="9.33203125" style="65" bestFit="1" customWidth="1"/>
    <col min="21" max="16384" width="9.109375" style="65"/>
  </cols>
  <sheetData>
    <row r="1" spans="1:20" s="66" customFormat="1" ht="30" customHeight="1" x14ac:dyDescent="0.3">
      <c r="A1" s="6" t="s">
        <v>58</v>
      </c>
      <c r="B1" s="105" t="s">
        <v>59</v>
      </c>
      <c r="C1" s="18"/>
      <c r="D1" s="72"/>
      <c r="E1" s="73"/>
      <c r="F1" s="74"/>
      <c r="G1" s="72">
        <v>0</v>
      </c>
      <c r="H1" s="73"/>
      <c r="I1" s="74"/>
      <c r="J1" s="72">
        <v>0</v>
      </c>
      <c r="K1" s="73"/>
      <c r="L1" s="74"/>
      <c r="M1" s="72">
        <v>0</v>
      </c>
      <c r="N1" s="73"/>
      <c r="O1" s="74"/>
      <c r="P1" s="72">
        <v>0</v>
      </c>
      <c r="Q1" s="73"/>
      <c r="R1" s="423" t="s">
        <v>13</v>
      </c>
    </row>
    <row r="2" spans="1:20" ht="24.9" customHeight="1" x14ac:dyDescent="0.3">
      <c r="A2" s="2" t="s">
        <v>14</v>
      </c>
      <c r="B2" s="107" t="s">
        <v>15</v>
      </c>
      <c r="C2" s="10"/>
      <c r="D2" s="11">
        <f>D20*D3</f>
        <v>0</v>
      </c>
      <c r="E2" s="11"/>
      <c r="F2" s="10"/>
      <c r="G2" s="11">
        <f>G20*G3</f>
        <v>0</v>
      </c>
      <c r="H2" s="11"/>
      <c r="I2" s="10"/>
      <c r="J2" s="11">
        <f>J20*J3</f>
        <v>0</v>
      </c>
      <c r="K2" s="11"/>
      <c r="L2" s="10"/>
      <c r="M2" s="11">
        <f>M20*M3</f>
        <v>0</v>
      </c>
      <c r="N2" s="11"/>
      <c r="O2" s="10"/>
      <c r="P2" s="11">
        <f>P20*P3</f>
        <v>0</v>
      </c>
      <c r="Q2" s="11"/>
      <c r="R2" s="423"/>
    </row>
    <row r="3" spans="1:20" ht="24.9" customHeight="1" x14ac:dyDescent="0.3">
      <c r="A3" s="6" t="s">
        <v>16</v>
      </c>
      <c r="B3" s="105" t="s">
        <v>17</v>
      </c>
      <c r="C3" s="18"/>
      <c r="D3" s="76">
        <v>0.1</v>
      </c>
      <c r="E3" s="77"/>
      <c r="F3" s="74"/>
      <c r="G3" s="76">
        <v>0.1</v>
      </c>
      <c r="H3" s="77"/>
      <c r="I3" s="74"/>
      <c r="J3" s="76">
        <v>0.1</v>
      </c>
      <c r="K3" s="77"/>
      <c r="L3" s="74"/>
      <c r="M3" s="76">
        <v>0.1</v>
      </c>
      <c r="N3" s="77"/>
      <c r="O3" s="74"/>
      <c r="P3" s="76">
        <v>0.1</v>
      </c>
      <c r="Q3" s="19"/>
      <c r="R3" s="423"/>
    </row>
    <row r="4" spans="1:20" ht="24.9" customHeight="1" x14ac:dyDescent="0.3">
      <c r="A4" s="2" t="s">
        <v>18</v>
      </c>
      <c r="B4" s="107" t="s">
        <v>19</v>
      </c>
      <c r="C4" s="14"/>
      <c r="D4" s="88"/>
      <c r="E4" s="78"/>
      <c r="F4" s="79"/>
      <c r="G4" s="88"/>
      <c r="H4" s="78"/>
      <c r="I4" s="79"/>
      <c r="J4" s="88"/>
      <c r="K4" s="78"/>
      <c r="L4" s="79"/>
      <c r="M4" s="88"/>
      <c r="N4" s="78"/>
      <c r="O4" s="79"/>
      <c r="P4" s="88"/>
      <c r="Q4" s="15"/>
      <c r="R4" s="423"/>
    </row>
    <row r="5" spans="1:20" ht="24.9" customHeight="1" x14ac:dyDescent="0.3">
      <c r="A5" s="6" t="s">
        <v>20</v>
      </c>
      <c r="B5" s="105" t="s">
        <v>21</v>
      </c>
      <c r="C5" s="18"/>
      <c r="D5" s="76">
        <v>9.2499999999999999E-2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19"/>
      <c r="R5" s="423"/>
    </row>
    <row r="6" spans="1:20" ht="24.9" customHeight="1" x14ac:dyDescent="0.3">
      <c r="A6" s="2" t="s">
        <v>22</v>
      </c>
      <c r="B6" s="17"/>
      <c r="C6" s="10"/>
      <c r="D6" s="11">
        <f>D4*D5</f>
        <v>0</v>
      </c>
      <c r="E6" s="11"/>
      <c r="F6" s="10"/>
      <c r="G6" s="11">
        <f>G4*G5</f>
        <v>0</v>
      </c>
      <c r="H6" s="11"/>
      <c r="I6" s="10"/>
      <c r="J6" s="11">
        <f>J4*J5</f>
        <v>0</v>
      </c>
      <c r="K6" s="11"/>
      <c r="L6" s="10"/>
      <c r="M6" s="11">
        <f>M4*M5</f>
        <v>0</v>
      </c>
      <c r="N6" s="11"/>
      <c r="O6" s="10"/>
      <c r="P6" s="11">
        <f>P4*P5</f>
        <v>0</v>
      </c>
      <c r="Q6" s="11"/>
      <c r="R6" s="423"/>
    </row>
    <row r="7" spans="1:20" s="67" customFormat="1" ht="20.100000000000001" hidden="1" customHeight="1" x14ac:dyDescent="0.3">
      <c r="A7" s="55" t="s">
        <v>23</v>
      </c>
      <c r="B7" s="43" t="s">
        <v>24</v>
      </c>
      <c r="C7" s="53"/>
      <c r="D7" s="56">
        <v>0</v>
      </c>
      <c r="E7" s="57"/>
      <c r="F7" s="53"/>
      <c r="G7" s="56">
        <v>0</v>
      </c>
      <c r="H7" s="57"/>
      <c r="I7" s="53"/>
      <c r="J7" s="56">
        <v>0</v>
      </c>
      <c r="K7" s="57"/>
      <c r="L7" s="53"/>
      <c r="M7" s="56">
        <v>0</v>
      </c>
      <c r="N7" s="57"/>
      <c r="O7" s="53"/>
      <c r="P7" s="56">
        <v>0</v>
      </c>
      <c r="Q7" s="57"/>
      <c r="R7" s="423"/>
    </row>
    <row r="8" spans="1:20" ht="1.5" customHeight="1" x14ac:dyDescent="0.3">
      <c r="A8" s="58" t="s">
        <v>25</v>
      </c>
      <c r="B8" s="43"/>
      <c r="C8" s="54"/>
      <c r="D8" s="52">
        <f>D4*D7</f>
        <v>0</v>
      </c>
      <c r="E8" s="52"/>
      <c r="F8" s="54"/>
      <c r="G8" s="52">
        <f>G4*G7</f>
        <v>0</v>
      </c>
      <c r="H8" s="52"/>
      <c r="I8" s="54"/>
      <c r="J8" s="52">
        <f>J4*J7</f>
        <v>0</v>
      </c>
      <c r="K8" s="52"/>
      <c r="L8" s="54"/>
      <c r="M8" s="52">
        <f>M4*M7</f>
        <v>0</v>
      </c>
      <c r="N8" s="52"/>
      <c r="O8" s="54"/>
      <c r="P8" s="52">
        <f>P4*P7</f>
        <v>0</v>
      </c>
      <c r="Q8" s="52"/>
      <c r="R8" s="423"/>
    </row>
    <row r="9" spans="1:20" ht="30" customHeight="1" x14ac:dyDescent="0.3">
      <c r="A9" s="63" t="s">
        <v>26</v>
      </c>
      <c r="B9" s="59"/>
      <c r="C9" s="60"/>
      <c r="D9" s="61">
        <f>D1+D2+D4-D6-D8</f>
        <v>0</v>
      </c>
      <c r="E9" s="62"/>
      <c r="F9" s="60"/>
      <c r="G9" s="61">
        <f>G1+G2+G4-G6-G8</f>
        <v>0</v>
      </c>
      <c r="H9" s="62"/>
      <c r="I9" s="60"/>
      <c r="J9" s="61">
        <f>J1+J2+J4-J6-J8</f>
        <v>0</v>
      </c>
      <c r="K9" s="62"/>
      <c r="L9" s="60"/>
      <c r="M9" s="61">
        <f>M1+M2+M4-M6-M8</f>
        <v>0</v>
      </c>
      <c r="N9" s="62"/>
      <c r="O9" s="60"/>
      <c r="P9" s="61">
        <f>P1+P2+P4-P6-P8</f>
        <v>0</v>
      </c>
      <c r="Q9" s="62"/>
      <c r="R9" s="423"/>
      <c r="T9" s="68"/>
    </row>
    <row r="10" spans="1:20" ht="0.75" customHeight="1" x14ac:dyDescent="0.3">
      <c r="A10" s="47" t="s">
        <v>27</v>
      </c>
      <c r="B10" s="44"/>
      <c r="C10" s="48"/>
      <c r="D10" s="49">
        <v>0</v>
      </c>
      <c r="E10" s="49"/>
      <c r="F10" s="48"/>
      <c r="G10" s="49">
        <v>0</v>
      </c>
      <c r="H10" s="49"/>
      <c r="I10" s="48"/>
      <c r="J10" s="49">
        <v>0</v>
      </c>
      <c r="K10" s="49"/>
      <c r="L10" s="48"/>
      <c r="M10" s="49">
        <v>0</v>
      </c>
      <c r="N10" s="49"/>
      <c r="O10" s="48"/>
      <c r="P10" s="49">
        <v>0</v>
      </c>
      <c r="Q10" s="49"/>
      <c r="R10" s="424" t="s">
        <v>13</v>
      </c>
    </row>
    <row r="11" spans="1:20" ht="0.75" customHeight="1" x14ac:dyDescent="0.3">
      <c r="A11" s="50" t="s">
        <v>28</v>
      </c>
      <c r="B11" s="51"/>
      <c r="C11" s="52"/>
      <c r="D11" s="52">
        <f>D20*D10</f>
        <v>0</v>
      </c>
      <c r="E11" s="52"/>
      <c r="F11" s="52"/>
      <c r="G11" s="52">
        <f>G20*G10</f>
        <v>0</v>
      </c>
      <c r="H11" s="52"/>
      <c r="I11" s="52"/>
      <c r="J11" s="52">
        <f>J20*J10</f>
        <v>0</v>
      </c>
      <c r="K11" s="52"/>
      <c r="L11" s="52"/>
      <c r="M11" s="52">
        <f>M20*M10</f>
        <v>0</v>
      </c>
      <c r="N11" s="52"/>
      <c r="O11" s="52"/>
      <c r="P11" s="52">
        <f>P20*P10</f>
        <v>0</v>
      </c>
      <c r="Q11" s="52"/>
      <c r="R11" s="424"/>
    </row>
    <row r="12" spans="1:20" ht="24.9" customHeight="1" x14ac:dyDescent="0.3">
      <c r="A12" s="3" t="s">
        <v>29</v>
      </c>
      <c r="B12" s="64" t="s">
        <v>30</v>
      </c>
      <c r="C12" s="45"/>
      <c r="D12" s="80">
        <v>0.02</v>
      </c>
      <c r="E12" s="81"/>
      <c r="F12" s="82"/>
      <c r="G12" s="83">
        <v>0.02</v>
      </c>
      <c r="H12" s="81"/>
      <c r="I12" s="82"/>
      <c r="J12" s="84">
        <v>0.02</v>
      </c>
      <c r="K12" s="81"/>
      <c r="L12" s="82"/>
      <c r="M12" s="84">
        <v>0.02</v>
      </c>
      <c r="N12" s="81"/>
      <c r="O12" s="82"/>
      <c r="P12" s="84">
        <v>0.02</v>
      </c>
      <c r="Q12" s="46"/>
      <c r="R12" s="425" t="s">
        <v>31</v>
      </c>
    </row>
    <row r="13" spans="1:20" ht="24.9" customHeight="1" x14ac:dyDescent="0.3">
      <c r="A13" s="4" t="s">
        <v>32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24.9" customHeight="1" x14ac:dyDescent="0.3">
      <c r="A14" s="3" t="s">
        <v>33</v>
      </c>
      <c r="B14" s="64" t="s">
        <v>34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39"/>
      <c r="R14" s="425"/>
    </row>
    <row r="15" spans="1:20" ht="24.9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24.9" customHeight="1" x14ac:dyDescent="0.3">
      <c r="A16" s="3"/>
      <c r="B16" s="64"/>
      <c r="C16" s="38"/>
      <c r="D16" s="308"/>
      <c r="E16" s="86"/>
      <c r="F16" s="87"/>
      <c r="G16" s="308"/>
      <c r="H16" s="86"/>
      <c r="I16" s="87"/>
      <c r="J16" s="308"/>
      <c r="K16" s="86"/>
      <c r="L16" s="87"/>
      <c r="M16" s="308"/>
      <c r="N16" s="86"/>
      <c r="O16" s="87"/>
      <c r="P16" s="308"/>
      <c r="Q16" s="39"/>
      <c r="R16" s="425"/>
    </row>
    <row r="17" spans="1:18" ht="24.9" customHeight="1" x14ac:dyDescent="0.3">
      <c r="A17" s="4"/>
      <c r="B17" s="26"/>
      <c r="C17" s="13"/>
      <c r="D17" s="13">
        <f>D20*D16</f>
        <v>0</v>
      </c>
      <c r="E17" s="13"/>
      <c r="F17" s="13"/>
      <c r="G17" s="13">
        <f>G20*G16</f>
        <v>0</v>
      </c>
      <c r="H17" s="13"/>
      <c r="I17" s="13"/>
      <c r="J17" s="13">
        <f>J20*J16</f>
        <v>0</v>
      </c>
      <c r="K17" s="13"/>
      <c r="L17" s="13"/>
      <c r="M17" s="13">
        <f>M20*M16</f>
        <v>0</v>
      </c>
      <c r="N17" s="13"/>
      <c r="O17" s="13"/>
      <c r="P17" s="13">
        <f>P20*P16</f>
        <v>0</v>
      </c>
      <c r="Q17" s="13"/>
      <c r="R17" s="425"/>
    </row>
    <row r="18" spans="1:18" ht="24.9" customHeight="1" x14ac:dyDescent="0.3">
      <c r="A18" s="3" t="s">
        <v>36</v>
      </c>
      <c r="B18" s="64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39"/>
      <c r="R18" s="425"/>
    </row>
    <row r="19" spans="1:18" ht="24.9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24.9" customHeight="1" thickBot="1" x14ac:dyDescent="0.35">
      <c r="A20" s="3" t="s">
        <v>39</v>
      </c>
      <c r="B20" s="23" t="s">
        <v>40</v>
      </c>
      <c r="C20" s="27"/>
      <c r="D20" s="274">
        <v>0</v>
      </c>
      <c r="E20" s="275"/>
      <c r="F20" s="276"/>
      <c r="G20" s="274"/>
      <c r="H20" s="275"/>
      <c r="I20" s="276"/>
      <c r="J20" s="274"/>
      <c r="K20" s="275"/>
      <c r="L20" s="276"/>
      <c r="M20" s="274"/>
      <c r="N20" s="275"/>
      <c r="O20" s="276"/>
      <c r="P20" s="274"/>
      <c r="Q20" s="28"/>
      <c r="R20" s="425"/>
    </row>
    <row r="21" spans="1:18" ht="24.9" customHeight="1" thickBot="1" x14ac:dyDescent="0.35">
      <c r="A21" s="7" t="s">
        <v>41</v>
      </c>
      <c r="B21" s="33"/>
      <c r="C21" s="29"/>
      <c r="D21" s="30" t="str">
        <f>IFERROR(IF(D9="","",(D20-D17-D15-D13-D11-D9-D19)/D9),"")</f>
        <v/>
      </c>
      <c r="E21" s="31"/>
      <c r="F21" s="29"/>
      <c r="G21" s="30" t="str">
        <f>IFERROR(IF(G9="","",(G20-G17-G15-G13-G11-G9-G19)/G9),"")</f>
        <v/>
      </c>
      <c r="H21" s="31"/>
      <c r="I21" s="29"/>
      <c r="J21" s="30" t="str">
        <f>IFERROR(IF(J9="","",(J20-J17-J15-J13-J11-J9-J19)/J9),"")</f>
        <v/>
      </c>
      <c r="K21" s="31"/>
      <c r="L21" s="29"/>
      <c r="M21" s="30" t="str">
        <f>IFERROR(IF(M9="","",(M20-M17-M15-M13-M11-M9-M19)/M9),"")</f>
        <v/>
      </c>
      <c r="N21" s="31"/>
      <c r="O21" s="29"/>
      <c r="P21" s="30" t="str">
        <f>IFERROR(IF(P9="","",(P20-P17-P15-P13-P11-P9-P19)/P9),"")</f>
        <v/>
      </c>
      <c r="Q21" s="31"/>
      <c r="R21" s="426" t="s">
        <v>42</v>
      </c>
    </row>
    <row r="22" spans="1:18" ht="24.9" customHeight="1" x14ac:dyDescent="0.3">
      <c r="A22" s="8" t="s">
        <v>43</v>
      </c>
      <c r="B22" s="24"/>
      <c r="C22" s="25"/>
      <c r="D22" s="34" t="str">
        <f>IF(D21="","",D20/D9-1)</f>
        <v/>
      </c>
      <c r="E22" s="34"/>
      <c r="F22" s="25"/>
      <c r="G22" s="34" t="str">
        <f>IF(G21="","",G20/G9-1)</f>
        <v/>
      </c>
      <c r="H22" s="34"/>
      <c r="I22" s="25"/>
      <c r="J22" s="34" t="str">
        <f>IF(J21="","",J20/J9-1)</f>
        <v/>
      </c>
      <c r="K22" s="34"/>
      <c r="L22" s="25"/>
      <c r="M22" s="34" t="str">
        <f>IF(M21="","",M20/M9-1)</f>
        <v/>
      </c>
      <c r="N22" s="34"/>
      <c r="O22" s="25"/>
      <c r="P22" s="34" t="str">
        <f>IF(P21="","",P20/P9-1)</f>
        <v/>
      </c>
      <c r="Q22" s="34"/>
      <c r="R22" s="426"/>
    </row>
    <row r="23" spans="1:18" ht="24.9" customHeight="1" x14ac:dyDescent="0.3">
      <c r="A23" s="431" t="s">
        <v>44</v>
      </c>
      <c r="B23" s="89"/>
      <c r="C23" s="90"/>
      <c r="D23" s="91">
        <v>0.2</v>
      </c>
      <c r="E23" s="91"/>
      <c r="F23" s="90"/>
      <c r="G23" s="91">
        <v>0.2</v>
      </c>
      <c r="H23" s="91"/>
      <c r="I23" s="90"/>
      <c r="J23" s="91">
        <v>0.19999999999999984</v>
      </c>
      <c r="K23" s="91"/>
      <c r="L23" s="90"/>
      <c r="M23" s="91">
        <v>0.2</v>
      </c>
      <c r="N23" s="91"/>
      <c r="O23" s="90"/>
      <c r="P23" s="91">
        <v>0.2</v>
      </c>
      <c r="Q23" s="91"/>
      <c r="R23" s="432" t="s">
        <v>45</v>
      </c>
    </row>
    <row r="24" spans="1:18" ht="24.9" customHeight="1" x14ac:dyDescent="0.3">
      <c r="A24" s="431"/>
      <c r="B24" s="92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432"/>
    </row>
    <row r="25" spans="1:18" ht="25.5" customHeight="1" thickBot="1" x14ac:dyDescent="0.35"/>
    <row r="26" spans="1:18" ht="41.25" customHeight="1" thickBot="1" x14ac:dyDescent="0.35">
      <c r="B26" s="314" t="s">
        <v>46</v>
      </c>
      <c r="C26" s="343"/>
      <c r="D26" s="315"/>
      <c r="E26" s="401"/>
      <c r="F26" s="402"/>
      <c r="G26" s="315"/>
      <c r="H26" s="401"/>
      <c r="I26" s="402"/>
      <c r="J26" s="315"/>
      <c r="K26" s="401"/>
      <c r="L26" s="402"/>
      <c r="M26" s="315"/>
      <c r="N26" s="401"/>
      <c r="O26" s="402"/>
      <c r="P26" s="315"/>
      <c r="Q26" s="70"/>
    </row>
    <row r="27" spans="1:18" ht="36" customHeight="1" thickBot="1" x14ac:dyDescent="0.35">
      <c r="B27" s="427" t="s">
        <v>47</v>
      </c>
      <c r="C27" s="428"/>
      <c r="D27" s="315"/>
      <c r="E27" s="403"/>
      <c r="F27" s="402"/>
      <c r="G27" s="315"/>
      <c r="H27" s="401"/>
      <c r="I27" s="402"/>
      <c r="J27" s="315"/>
      <c r="K27" s="401"/>
      <c r="L27" s="402"/>
      <c r="M27" s="315"/>
      <c r="N27" s="401"/>
      <c r="O27" s="402"/>
      <c r="P27" s="315"/>
      <c r="Q27" s="70"/>
    </row>
    <row r="28" spans="1:18" ht="35.25" customHeight="1" thickBot="1" x14ac:dyDescent="0.35">
      <c r="B28" s="429" t="s">
        <v>48</v>
      </c>
      <c r="C28" s="430"/>
      <c r="D28" s="404">
        <f>IFERROR(D20*D27,"")</f>
        <v>0</v>
      </c>
      <c r="E28" s="401"/>
      <c r="F28" s="405"/>
      <c r="G28" s="404">
        <f>IFERROR(G20*G27,"")</f>
        <v>0</v>
      </c>
      <c r="H28" s="401"/>
      <c r="I28" s="405"/>
      <c r="J28" s="404">
        <f>IFERROR(J20*J27,"")</f>
        <v>0</v>
      </c>
      <c r="K28" s="401"/>
      <c r="L28" s="405"/>
      <c r="M28" s="404">
        <f>IFERROR(M20*M27,"")</f>
        <v>0</v>
      </c>
      <c r="N28" s="401"/>
      <c r="O28" s="405"/>
      <c r="P28" s="404">
        <f>IFERROR(P20*P27,"")</f>
        <v>0</v>
      </c>
      <c r="Q28" s="70"/>
    </row>
    <row r="29" spans="1:18" ht="15.75" customHeight="1" thickBot="1" x14ac:dyDescent="0.35"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  <c r="Q29" s="70"/>
    </row>
    <row r="30" spans="1:18" ht="35.25" customHeight="1" thickBot="1" x14ac:dyDescent="0.35">
      <c r="B30" s="314" t="s">
        <v>49</v>
      </c>
      <c r="C30" s="343"/>
      <c r="D30" s="407"/>
      <c r="E30" s="406"/>
      <c r="F30" s="406"/>
      <c r="G30" s="407"/>
      <c r="H30" s="406"/>
      <c r="I30" s="406"/>
      <c r="J30" s="407"/>
      <c r="K30" s="406"/>
      <c r="L30" s="406"/>
      <c r="M30" s="407"/>
      <c r="N30" s="406"/>
      <c r="O30" s="406"/>
      <c r="P30" s="407"/>
      <c r="Q30" s="70"/>
    </row>
    <row r="31" spans="1:18" ht="15.75" customHeight="1" thickBot="1" x14ac:dyDescent="0.35"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  <c r="Q31" s="70"/>
    </row>
    <row r="32" spans="1:18" ht="35.25" customHeight="1" thickBot="1" x14ac:dyDescent="0.35">
      <c r="B32" s="427" t="s">
        <v>50</v>
      </c>
      <c r="C32" s="428"/>
      <c r="D32" s="408">
        <f>IFERROR(D9*D27,"")</f>
        <v>0</v>
      </c>
      <c r="E32" s="406"/>
      <c r="F32" s="406"/>
      <c r="G32" s="408">
        <f>IFERROR(G9*G27,"")</f>
        <v>0</v>
      </c>
      <c r="H32" s="406"/>
      <c r="I32" s="406"/>
      <c r="J32" s="408">
        <f>IFERROR(J9*J27,"")</f>
        <v>0</v>
      </c>
      <c r="K32" s="406"/>
      <c r="L32" s="406"/>
      <c r="M32" s="408">
        <f>IFERROR(M9*M27,"")</f>
        <v>0</v>
      </c>
      <c r="N32" s="406"/>
      <c r="O32" s="406"/>
      <c r="P32" s="408">
        <f>IFERROR(P9*P27,"")</f>
        <v>0</v>
      </c>
      <c r="Q32" s="70"/>
    </row>
    <row r="33" spans="2:17" ht="27" customHeight="1" thickBot="1" x14ac:dyDescent="0.35">
      <c r="B33" s="427" t="s">
        <v>51</v>
      </c>
      <c r="C33" s="428"/>
      <c r="D33" s="408">
        <f>IFERROR(((D13+D15+D17+D19)*D27),"")</f>
        <v>0</v>
      </c>
      <c r="E33" s="406"/>
      <c r="F33" s="406"/>
      <c r="G33" s="408">
        <f>IFERROR(((G13+G15+G17+G19)*G27),"")</f>
        <v>0</v>
      </c>
      <c r="H33" s="406"/>
      <c r="I33" s="406"/>
      <c r="J33" s="408">
        <f>IFERROR(((J13+J15+J17+J19)*J27),"")</f>
        <v>0</v>
      </c>
      <c r="K33" s="406"/>
      <c r="L33" s="406"/>
      <c r="M33" s="408">
        <f>IFERROR(((M13+M15+M17+M19)*M27),"")</f>
        <v>0</v>
      </c>
      <c r="N33" s="406"/>
      <c r="O33" s="406"/>
      <c r="P33" s="408">
        <f>IFERROR(((P13+P15+P17+P19)*P27),"")</f>
        <v>0</v>
      </c>
      <c r="Q33" s="70"/>
    </row>
    <row r="34" spans="2:17" ht="15.75" customHeight="1" thickBot="1" x14ac:dyDescent="0.35"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  <c r="Q34" s="70"/>
    </row>
    <row r="35" spans="2:17" ht="28.5" customHeight="1" thickBot="1" x14ac:dyDescent="0.35">
      <c r="B35" s="427" t="s">
        <v>52</v>
      </c>
      <c r="C35" s="428"/>
      <c r="D35" s="399"/>
      <c r="E35" s="406"/>
      <c r="F35" s="406"/>
      <c r="G35" s="399"/>
      <c r="H35" s="406"/>
      <c r="I35" s="406"/>
      <c r="J35" s="399"/>
      <c r="K35" s="406"/>
      <c r="L35" s="406"/>
      <c r="M35" s="399"/>
      <c r="N35" s="406"/>
      <c r="O35" s="406"/>
      <c r="P35" s="399"/>
    </row>
    <row r="36" spans="2:17" ht="15" thickBot="1" x14ac:dyDescent="0.35"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</row>
    <row r="37" spans="2:17" ht="23.4" customHeight="1" thickBot="1" x14ac:dyDescent="0.35">
      <c r="B37" s="314" t="s">
        <v>53</v>
      </c>
      <c r="C37" s="343"/>
      <c r="D37" s="346" t="str">
        <f>IFERROR(IF(D9="","",((D20-D17-D15-D13-D11-D9-D19)-((D20-D17-D15-D13-D11-D9-D19+D2)*D35))/D20),"")</f>
        <v/>
      </c>
      <c r="E37" s="409"/>
      <c r="F37" s="409"/>
      <c r="G37" s="346" t="str">
        <f>IFERROR(IF(G9="","",((G20-G17-G15-G13-G11-G9-G19)-((G20-G17-G15-G13-G11-G9-G19+G2)*G35))/G20),"")</f>
        <v/>
      </c>
      <c r="H37" s="409"/>
      <c r="I37" s="409"/>
      <c r="J37" s="346" t="str">
        <f>IFERROR(IF(J9="","",((J20-J17-J15-J13-J11-J9-J19)-((J20-J17-J15-J13-J11-J9-J19+J2)*J35))/J20),"")</f>
        <v/>
      </c>
      <c r="K37" s="409"/>
      <c r="L37" s="409"/>
      <c r="M37" s="346" t="str">
        <f>IFERROR(IF(M9="","",((M20-M17-M15-M13-M11-M9-M19)-((M20-M17-M15-M13-M11-M9-M19+M2)*M35))/M20),"")</f>
        <v/>
      </c>
      <c r="N37" s="409"/>
      <c r="O37" s="409"/>
      <c r="P37" s="346" t="str">
        <f>IFERROR(IF(P9="","",((P20-P17-P15-P13-P11-P9-P19)-((P20-P17-P15-P13-P11-P9-P19+P2)*P35))/P20),"")</f>
        <v/>
      </c>
    </row>
    <row r="38" spans="2:17" ht="21" customHeight="1" thickBot="1" x14ac:dyDescent="0.35">
      <c r="B38" s="397" t="s">
        <v>54</v>
      </c>
      <c r="C38" s="398"/>
      <c r="D38" s="410" t="str">
        <f>IFERROR((D37*D28),"")</f>
        <v/>
      </c>
      <c r="E38" s="406"/>
      <c r="F38" s="406"/>
      <c r="G38" s="410" t="str">
        <f>IFERROR((G37*G28),"")</f>
        <v/>
      </c>
      <c r="H38" s="406"/>
      <c r="I38" s="406"/>
      <c r="J38" s="410" t="str">
        <f>IFERROR((J37*J28),"")</f>
        <v/>
      </c>
      <c r="K38" s="406"/>
      <c r="L38" s="406"/>
      <c r="M38" s="410" t="str">
        <f>IFERROR((M37*M28),"")</f>
        <v/>
      </c>
      <c r="N38" s="406"/>
      <c r="O38" s="406"/>
      <c r="P38" s="410" t="str">
        <f>IFERROR((P37*P28),"")</f>
        <v/>
      </c>
    </row>
    <row r="39" spans="2:17" ht="15" thickBot="1" x14ac:dyDescent="0.35">
      <c r="D39" s="406"/>
      <c r="E39" s="406"/>
      <c r="F39" s="406"/>
      <c r="G39" s="406"/>
      <c r="H39" s="406"/>
      <c r="I39" s="406"/>
      <c r="J39" s="406"/>
      <c r="K39" s="406"/>
      <c r="L39" s="406"/>
      <c r="M39" s="406"/>
      <c r="N39" s="406"/>
      <c r="O39" s="406"/>
      <c r="P39" s="406"/>
    </row>
    <row r="40" spans="2:17" ht="21" customHeight="1" thickBot="1" x14ac:dyDescent="0.35">
      <c r="B40" s="427" t="s">
        <v>55</v>
      </c>
      <c r="C40" s="428"/>
      <c r="D40" s="400"/>
      <c r="E40" s="406"/>
      <c r="F40" s="406"/>
      <c r="G40" s="400"/>
      <c r="H40" s="406"/>
      <c r="I40" s="406"/>
      <c r="J40" s="400"/>
      <c r="K40" s="406"/>
      <c r="L40" s="406"/>
      <c r="M40" s="400"/>
      <c r="N40" s="406"/>
      <c r="O40" s="406"/>
      <c r="P40" s="400"/>
    </row>
    <row r="41" spans="2:17" ht="24.9" customHeight="1" thickBot="1" x14ac:dyDescent="0.35">
      <c r="B41" s="427" t="s">
        <v>56</v>
      </c>
      <c r="C41" s="428"/>
      <c r="D41" s="346" t="str">
        <f>IFERROR(IF(D9="","",((D20-D17-D15-D13-D11-D9-D19)-((D20-D17-D15-D13-D11-D9-D19+D2)*D35)-(D40*D20))/D20),"")</f>
        <v/>
      </c>
      <c r="E41" s="406"/>
      <c r="F41" s="406"/>
      <c r="G41" s="346" t="str">
        <f>IFERROR(IF(G9="","",((G20-G17-G15-G13-G11-G9-G19)-((G20-G17-G15-G13-G11-G9-G19+G2)*G35)-(G40*G20))/G20),"")</f>
        <v/>
      </c>
      <c r="H41" s="406"/>
      <c r="I41" s="406"/>
      <c r="J41" s="346" t="str">
        <f>IFERROR(IF(J9="","",((J20-J17-J15-J13-J11-J9-J19)-((J20-J17-J15-J13-J11-J9-J19+J2)*J35)-(J40*J20))/J20),"")</f>
        <v/>
      </c>
      <c r="K41" s="406"/>
      <c r="L41" s="406"/>
      <c r="M41" s="346" t="str">
        <f>IFERROR(IF(M9="","",((M20-M17-M15-M13-M11-M9-M19)-((M20-M17-M15-M13-M11-M9-M19+M2)*M35)-(M40*M20))/M20),"")</f>
        <v/>
      </c>
      <c r="N41" s="406"/>
      <c r="O41" s="406"/>
      <c r="P41" s="346" t="str">
        <f>IFERROR(IF(P9="","",((P20-P17-P15-P13-P11-P9-P19)-((P20-P17-P15-P13-P11-P9-P19+P2)*P35)-(P40*P20))/P20),"")</f>
        <v/>
      </c>
    </row>
    <row r="42" spans="2:17" ht="24.6" customHeight="1" thickBot="1" x14ac:dyDescent="0.35">
      <c r="B42" s="429" t="s">
        <v>57</v>
      </c>
      <c r="C42" s="430"/>
      <c r="D42" s="410">
        <f>IFERROR((D38-(D40*D20)),0)</f>
        <v>0</v>
      </c>
      <c r="E42" s="406"/>
      <c r="F42" s="406"/>
      <c r="G42" s="410">
        <f>IFERROR((G38-(G40*G20)),0)</f>
        <v>0</v>
      </c>
      <c r="H42" s="406"/>
      <c r="I42" s="406"/>
      <c r="J42" s="410">
        <f>IFERROR((J38-(J40*J20)),0)</f>
        <v>0</v>
      </c>
      <c r="K42" s="406"/>
      <c r="L42" s="406"/>
      <c r="M42" s="410">
        <f>IFERROR((M38-(M40*M20)),0)</f>
        <v>0</v>
      </c>
      <c r="N42" s="406"/>
      <c r="O42" s="406"/>
      <c r="P42" s="410">
        <f>IFERROR((P38-(P40*P20)),0)</f>
        <v>0</v>
      </c>
    </row>
    <row r="43" spans="2:17" x14ac:dyDescent="0.3">
      <c r="B43" s="70"/>
      <c r="D43" s="71"/>
    </row>
    <row r="44" spans="2:17" x14ac:dyDescent="0.3">
      <c r="B44" s="70"/>
      <c r="D44" s="71"/>
    </row>
  </sheetData>
  <sheetProtection sheet="1" objects="1" scenarios="1"/>
  <mergeCells count="14">
    <mergeCell ref="B42:C42"/>
    <mergeCell ref="B32:C32"/>
    <mergeCell ref="B33:C33"/>
    <mergeCell ref="B35:C35"/>
    <mergeCell ref="B40:C40"/>
    <mergeCell ref="B41:C41"/>
    <mergeCell ref="A23:A24"/>
    <mergeCell ref="R23:R24"/>
    <mergeCell ref="B27:C27"/>
    <mergeCell ref="B28:C28"/>
    <mergeCell ref="R1:R9"/>
    <mergeCell ref="R10:R11"/>
    <mergeCell ref="R12:R20"/>
    <mergeCell ref="R21:R22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40" name="Button 37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41" name="Button 38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42" name="Button 39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43" name="Button 40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44" name="Button 41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45" name="Button 42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46" name="Button 43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47" name="Button 44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8" name="Button 45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9" name="Button 46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50" name="Button 47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51" name="Button 48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tabColor theme="5" tint="0.79998168889431442"/>
  </sheetPr>
  <dimension ref="A1:T42"/>
  <sheetViews>
    <sheetView showGridLines="0" showRowColHeaders="0" zoomScale="70" zoomScaleNormal="70" workbookViewId="0">
      <selection activeCell="G20" sqref="G20"/>
    </sheetView>
  </sheetViews>
  <sheetFormatPr defaultColWidth="9.109375" defaultRowHeight="14.4" x14ac:dyDescent="0.3"/>
  <cols>
    <col min="1" max="1" width="39.109375" style="65" customWidth="1"/>
    <col min="2" max="2" width="39.33203125" style="65" customWidth="1"/>
    <col min="3" max="3" width="3.6640625" style="65" customWidth="1"/>
    <col min="4" max="4" width="17.6640625" style="65" bestFit="1" customWidth="1"/>
    <col min="5" max="6" width="3.6640625" style="65" customWidth="1"/>
    <col min="7" max="7" width="17.6640625" style="65" bestFit="1" customWidth="1"/>
    <col min="8" max="9" width="3.6640625" style="65" customWidth="1"/>
    <col min="10" max="10" width="17.6640625" style="65" bestFit="1" customWidth="1"/>
    <col min="11" max="12" width="3.6640625" style="65" customWidth="1"/>
    <col min="13" max="13" width="17.6640625" style="65" bestFit="1" customWidth="1"/>
    <col min="14" max="15" width="3.6640625" style="65" customWidth="1"/>
    <col min="16" max="16" width="17.6640625" style="65" bestFit="1" customWidth="1"/>
    <col min="17" max="17" width="3.6640625" style="65" customWidth="1"/>
    <col min="18" max="18" width="10" style="65" bestFit="1" customWidth="1"/>
    <col min="19" max="19" width="9.109375" style="65"/>
    <col min="20" max="20" width="9.33203125" style="65" bestFit="1" customWidth="1"/>
    <col min="21" max="16384" width="9.109375" style="65"/>
  </cols>
  <sheetData>
    <row r="1" spans="1:20" s="66" customFormat="1" ht="16.5" customHeight="1" x14ac:dyDescent="0.3">
      <c r="A1" s="6"/>
      <c r="B1" s="108"/>
      <c r="C1" s="18"/>
      <c r="D1" s="72">
        <v>0</v>
      </c>
      <c r="E1" s="73"/>
      <c r="F1" s="74"/>
      <c r="G1" s="72">
        <v>0</v>
      </c>
      <c r="H1" s="73"/>
      <c r="I1" s="74"/>
      <c r="J1" s="72">
        <v>0</v>
      </c>
      <c r="K1" s="73"/>
      <c r="L1" s="74"/>
      <c r="M1" s="72">
        <v>0</v>
      </c>
      <c r="N1" s="73"/>
      <c r="O1" s="74"/>
      <c r="P1" s="72">
        <v>0</v>
      </c>
      <c r="Q1" s="73"/>
      <c r="R1" s="423" t="s">
        <v>13</v>
      </c>
    </row>
    <row r="2" spans="1:20" ht="16.5" customHeight="1" x14ac:dyDescent="0.3">
      <c r="A2" s="2" t="s">
        <v>14</v>
      </c>
      <c r="B2" s="17" t="s">
        <v>60</v>
      </c>
      <c r="C2" s="10"/>
      <c r="D2" s="272">
        <f>D20*D3</f>
        <v>0</v>
      </c>
      <c r="E2" s="272"/>
      <c r="F2" s="273"/>
      <c r="G2" s="272">
        <f>G20*G3</f>
        <v>0</v>
      </c>
      <c r="H2" s="272"/>
      <c r="I2" s="273"/>
      <c r="J2" s="272">
        <f>J20*J3</f>
        <v>0</v>
      </c>
      <c r="K2" s="272"/>
      <c r="L2" s="273"/>
      <c r="M2" s="272">
        <f>M20*M3</f>
        <v>0</v>
      </c>
      <c r="N2" s="272"/>
      <c r="O2" s="273"/>
      <c r="P2" s="272">
        <f>P20*P3</f>
        <v>0</v>
      </c>
      <c r="Q2" s="272"/>
      <c r="R2" s="423"/>
    </row>
    <row r="3" spans="1:20" ht="29.4" customHeight="1" x14ac:dyDescent="0.3">
      <c r="A3" s="6" t="s">
        <v>61</v>
      </c>
      <c r="B3" s="108" t="s">
        <v>17</v>
      </c>
      <c r="C3" s="18"/>
      <c r="D3" s="76">
        <v>0.1</v>
      </c>
      <c r="E3" s="77"/>
      <c r="F3" s="74"/>
      <c r="G3" s="76">
        <v>0.1</v>
      </c>
      <c r="H3" s="77"/>
      <c r="I3" s="74"/>
      <c r="J3" s="76">
        <v>0.1</v>
      </c>
      <c r="K3" s="77"/>
      <c r="L3" s="74"/>
      <c r="M3" s="76">
        <v>0.1</v>
      </c>
      <c r="N3" s="77"/>
      <c r="O3" s="74"/>
      <c r="P3" s="76">
        <v>0.1</v>
      </c>
      <c r="Q3" s="19"/>
      <c r="R3" s="423"/>
    </row>
    <row r="4" spans="1:20" ht="23.1" customHeight="1" x14ac:dyDescent="0.3">
      <c r="A4" s="2" t="s">
        <v>62</v>
      </c>
      <c r="B4" s="109" t="s">
        <v>63</v>
      </c>
      <c r="C4" s="14"/>
      <c r="D4" s="110"/>
      <c r="E4" s="111"/>
      <c r="F4" s="112"/>
      <c r="G4" s="110"/>
      <c r="H4" s="111"/>
      <c r="I4" s="112"/>
      <c r="J4" s="110"/>
      <c r="K4" s="111"/>
      <c r="L4" s="112"/>
      <c r="M4" s="110"/>
      <c r="N4" s="111"/>
      <c r="O4" s="112"/>
      <c r="P4" s="110"/>
      <c r="Q4" s="15"/>
      <c r="R4" s="423"/>
    </row>
    <row r="5" spans="1:20" ht="21" customHeight="1" x14ac:dyDescent="0.3">
      <c r="A5" s="6" t="s">
        <v>20</v>
      </c>
      <c r="B5" s="108" t="s">
        <v>21</v>
      </c>
      <c r="C5" s="18"/>
      <c r="D5" s="76">
        <v>9.2499999999999999E-2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19"/>
      <c r="R5" s="423"/>
    </row>
    <row r="6" spans="1:20" ht="20.25" customHeight="1" x14ac:dyDescent="0.3">
      <c r="A6" s="2" t="s">
        <v>22</v>
      </c>
      <c r="B6" s="17"/>
      <c r="C6" s="10"/>
      <c r="D6" s="11">
        <f>D4*D5</f>
        <v>0</v>
      </c>
      <c r="E6" s="11"/>
      <c r="F6" s="10"/>
      <c r="G6" s="11">
        <f>G4*G5</f>
        <v>0</v>
      </c>
      <c r="H6" s="11"/>
      <c r="I6" s="10"/>
      <c r="J6" s="11">
        <f>J4*J5</f>
        <v>0</v>
      </c>
      <c r="K6" s="11"/>
      <c r="L6" s="10"/>
      <c r="M6" s="11">
        <f>M4*M5</f>
        <v>0</v>
      </c>
      <c r="N6" s="11"/>
      <c r="O6" s="10"/>
      <c r="P6" s="11">
        <f>P4*P5</f>
        <v>0</v>
      </c>
      <c r="Q6" s="11"/>
      <c r="R6" s="423"/>
    </row>
    <row r="7" spans="1:20" s="67" customFormat="1" ht="1.5" hidden="1" customHeight="1" x14ac:dyDescent="0.3">
      <c r="A7" s="55" t="s">
        <v>23</v>
      </c>
      <c r="B7" s="43" t="s">
        <v>24</v>
      </c>
      <c r="C7" s="53"/>
      <c r="D7" s="56">
        <v>0</v>
      </c>
      <c r="E7" s="57"/>
      <c r="F7" s="53"/>
      <c r="G7" s="56">
        <v>0</v>
      </c>
      <c r="H7" s="57"/>
      <c r="I7" s="53"/>
      <c r="J7" s="56">
        <v>0</v>
      </c>
      <c r="K7" s="57"/>
      <c r="L7" s="53"/>
      <c r="M7" s="56">
        <v>0</v>
      </c>
      <c r="N7" s="57"/>
      <c r="O7" s="53"/>
      <c r="P7" s="56">
        <v>0</v>
      </c>
      <c r="Q7" s="57"/>
      <c r="R7" s="423"/>
    </row>
    <row r="8" spans="1:20" ht="1.5" customHeight="1" x14ac:dyDescent="0.3">
      <c r="A8" s="58" t="s">
        <v>25</v>
      </c>
      <c r="B8" s="43"/>
      <c r="C8" s="54"/>
      <c r="D8" s="52">
        <f>D4*D7</f>
        <v>0</v>
      </c>
      <c r="E8" s="52"/>
      <c r="F8" s="54"/>
      <c r="G8" s="52">
        <f>G4*G7</f>
        <v>0</v>
      </c>
      <c r="H8" s="52"/>
      <c r="I8" s="54"/>
      <c r="J8" s="52">
        <f>J4*J7</f>
        <v>0</v>
      </c>
      <c r="K8" s="52"/>
      <c r="L8" s="54"/>
      <c r="M8" s="52">
        <f>M4*M7</f>
        <v>0</v>
      </c>
      <c r="N8" s="52"/>
      <c r="O8" s="54"/>
      <c r="P8" s="52">
        <f>P4*P7</f>
        <v>0</v>
      </c>
      <c r="Q8" s="52"/>
      <c r="R8" s="423"/>
    </row>
    <row r="9" spans="1:20" ht="16.5" customHeight="1" x14ac:dyDescent="0.3">
      <c r="A9" s="63" t="s">
        <v>26</v>
      </c>
      <c r="B9" s="59"/>
      <c r="C9" s="60"/>
      <c r="D9" s="61">
        <f>D1+D2+D4-D6-D8</f>
        <v>0</v>
      </c>
      <c r="E9" s="62"/>
      <c r="F9" s="60"/>
      <c r="G9" s="61">
        <f>G1+G2+G4-G6-G8</f>
        <v>0</v>
      </c>
      <c r="H9" s="62"/>
      <c r="I9" s="60"/>
      <c r="J9" s="61">
        <f>J1+J2+J4-J6-J8</f>
        <v>0</v>
      </c>
      <c r="K9" s="62"/>
      <c r="L9" s="60"/>
      <c r="M9" s="61">
        <f>M1+M2+M4-M6-M8</f>
        <v>0</v>
      </c>
      <c r="N9" s="62"/>
      <c r="O9" s="60"/>
      <c r="P9" s="61">
        <f>P1+P2+P4-P6-P8</f>
        <v>0</v>
      </c>
      <c r="Q9" s="62"/>
      <c r="R9" s="423"/>
      <c r="T9" s="68"/>
    </row>
    <row r="10" spans="1:20" ht="0.75" customHeight="1" x14ac:dyDescent="0.3">
      <c r="A10" s="47" t="s">
        <v>27</v>
      </c>
      <c r="B10" s="44"/>
      <c r="C10" s="48"/>
      <c r="D10" s="49">
        <v>0</v>
      </c>
      <c r="E10" s="49"/>
      <c r="F10" s="48"/>
      <c r="G10" s="49">
        <v>0</v>
      </c>
      <c r="H10" s="49"/>
      <c r="I10" s="48"/>
      <c r="J10" s="49">
        <v>0</v>
      </c>
      <c r="K10" s="49"/>
      <c r="L10" s="48"/>
      <c r="M10" s="49">
        <v>0</v>
      </c>
      <c r="N10" s="49"/>
      <c r="O10" s="48"/>
      <c r="P10" s="49">
        <v>0</v>
      </c>
      <c r="Q10" s="49"/>
      <c r="R10" s="424" t="s">
        <v>13</v>
      </c>
    </row>
    <row r="11" spans="1:20" ht="0.75" customHeight="1" x14ac:dyDescent="0.3">
      <c r="A11" s="50" t="s">
        <v>28</v>
      </c>
      <c r="B11" s="51"/>
      <c r="C11" s="52"/>
      <c r="D11" s="52">
        <f>D20*D10</f>
        <v>0</v>
      </c>
      <c r="E11" s="52"/>
      <c r="F11" s="52"/>
      <c r="G11" s="52">
        <f>G20*G10</f>
        <v>0</v>
      </c>
      <c r="H11" s="52"/>
      <c r="I11" s="52"/>
      <c r="J11" s="52">
        <f>J20*J10</f>
        <v>0</v>
      </c>
      <c r="K11" s="52"/>
      <c r="L11" s="52"/>
      <c r="M11" s="52">
        <f>M20*M10</f>
        <v>0</v>
      </c>
      <c r="N11" s="52"/>
      <c r="O11" s="52"/>
      <c r="P11" s="52">
        <f>P20*P10</f>
        <v>0</v>
      </c>
      <c r="Q11" s="52"/>
      <c r="R11" s="424"/>
    </row>
    <row r="12" spans="1:20" ht="16.5" customHeight="1" x14ac:dyDescent="0.3">
      <c r="A12" s="3" t="s">
        <v>29</v>
      </c>
      <c r="B12" s="106" t="s">
        <v>30</v>
      </c>
      <c r="C12" s="45"/>
      <c r="D12" s="80">
        <v>0.02</v>
      </c>
      <c r="E12" s="81"/>
      <c r="F12" s="82"/>
      <c r="G12" s="83">
        <v>0.02</v>
      </c>
      <c r="H12" s="81"/>
      <c r="I12" s="82"/>
      <c r="J12" s="84">
        <v>0.02</v>
      </c>
      <c r="K12" s="81"/>
      <c r="L12" s="82"/>
      <c r="M12" s="84">
        <v>0.02</v>
      </c>
      <c r="N12" s="81"/>
      <c r="O12" s="82"/>
      <c r="P12" s="84">
        <v>0.02</v>
      </c>
      <c r="Q12" s="46"/>
      <c r="R12" s="425" t="s">
        <v>31</v>
      </c>
    </row>
    <row r="13" spans="1:20" ht="16.5" customHeight="1" x14ac:dyDescent="0.3">
      <c r="A13" s="4" t="s">
        <v>32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16.5" customHeight="1" x14ac:dyDescent="0.3">
      <c r="A14" s="3" t="s">
        <v>33</v>
      </c>
      <c r="B14" s="106" t="s">
        <v>34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39"/>
      <c r="R14" s="425"/>
    </row>
    <row r="15" spans="1:20" ht="16.5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16.5" customHeight="1" x14ac:dyDescent="0.3">
      <c r="A16" s="3"/>
      <c r="B16" s="106"/>
      <c r="C16" s="38"/>
      <c r="D16" s="308"/>
      <c r="E16" s="86"/>
      <c r="F16" s="87"/>
      <c r="G16" s="308"/>
      <c r="H16" s="86"/>
      <c r="I16" s="87"/>
      <c r="J16" s="308"/>
      <c r="K16" s="86"/>
      <c r="L16" s="87"/>
      <c r="M16" s="308"/>
      <c r="N16" s="86"/>
      <c r="O16" s="87"/>
      <c r="P16" s="308"/>
      <c r="Q16" s="39"/>
      <c r="R16" s="425"/>
    </row>
    <row r="17" spans="1:18" ht="16.5" customHeight="1" x14ac:dyDescent="0.3">
      <c r="A17" s="4"/>
      <c r="B17" s="26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425"/>
    </row>
    <row r="18" spans="1:18" ht="16.5" customHeight="1" x14ac:dyDescent="0.3">
      <c r="A18" s="3" t="s">
        <v>36</v>
      </c>
      <c r="B18" s="106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39"/>
      <c r="R18" s="425"/>
    </row>
    <row r="19" spans="1:18" ht="16.5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16.5" customHeight="1" thickBot="1" x14ac:dyDescent="0.35">
      <c r="A20" s="3" t="s">
        <v>39</v>
      </c>
      <c r="B20" s="23" t="s">
        <v>40</v>
      </c>
      <c r="C20" s="27"/>
      <c r="D20" s="274"/>
      <c r="E20" s="275"/>
      <c r="F20" s="276"/>
      <c r="G20" s="274"/>
      <c r="H20" s="275"/>
      <c r="I20" s="276"/>
      <c r="J20" s="274">
        <v>0</v>
      </c>
      <c r="K20" s="275"/>
      <c r="L20" s="276"/>
      <c r="M20" s="274">
        <v>0</v>
      </c>
      <c r="N20" s="275"/>
      <c r="O20" s="276"/>
      <c r="P20" s="274">
        <v>0</v>
      </c>
      <c r="Q20" s="28"/>
      <c r="R20" s="425"/>
    </row>
    <row r="21" spans="1:18" ht="16.5" customHeight="1" thickBot="1" x14ac:dyDescent="0.35">
      <c r="A21" s="7" t="s">
        <v>41</v>
      </c>
      <c r="B21" s="33"/>
      <c r="C21" s="29"/>
      <c r="D21" s="30" t="e">
        <f>IF(D9="","",(D20-D17-D15-D13-D11-D9-D19)/D9)</f>
        <v>#DIV/0!</v>
      </c>
      <c r="E21" s="31"/>
      <c r="F21" s="29"/>
      <c r="G21" s="30" t="e">
        <f>IF(G9="","",(G20-G17-G15-G13-G11-G9-G19)/G9)</f>
        <v>#DIV/0!</v>
      </c>
      <c r="H21" s="31"/>
      <c r="I21" s="29"/>
      <c r="J21" s="30" t="e">
        <f>IF(J9="","",(J20-J17-J15-J13-J11-J9-J19)/J9)</f>
        <v>#DIV/0!</v>
      </c>
      <c r="K21" s="31"/>
      <c r="L21" s="29"/>
      <c r="M21" s="30" t="e">
        <f>IF(M9="","",(M20-M17-M15-M13-M11-M9-M19)/M9)</f>
        <v>#DIV/0!</v>
      </c>
      <c r="N21" s="31"/>
      <c r="O21" s="29"/>
      <c r="P21" s="30" t="e">
        <f>IF(P9="","",(P20-P17-P15-P13-P11-P9-P19)/P9)</f>
        <v>#DIV/0!</v>
      </c>
      <c r="Q21" s="31"/>
      <c r="R21" s="426" t="s">
        <v>42</v>
      </c>
    </row>
    <row r="22" spans="1:18" ht="16.5" customHeight="1" x14ac:dyDescent="0.3">
      <c r="A22" s="8" t="s">
        <v>43</v>
      </c>
      <c r="B22" s="24"/>
      <c r="C22" s="25"/>
      <c r="D22" s="34" t="e">
        <f>IF(D21="","",D20/D9-1)</f>
        <v>#DIV/0!</v>
      </c>
      <c r="E22" s="34"/>
      <c r="F22" s="25"/>
      <c r="G22" s="34" t="e">
        <f>IF(G21="","",G20/G9-1)</f>
        <v>#DIV/0!</v>
      </c>
      <c r="H22" s="34"/>
      <c r="I22" s="25"/>
      <c r="J22" s="34" t="e">
        <f>IF(J21="","",J20/J9-1)</f>
        <v>#DIV/0!</v>
      </c>
      <c r="K22" s="34"/>
      <c r="L22" s="25"/>
      <c r="M22" s="34" t="e">
        <f>IF(M21="","",M20/M9-1)</f>
        <v>#DIV/0!</v>
      </c>
      <c r="N22" s="34"/>
      <c r="O22" s="25"/>
      <c r="P22" s="34" t="e">
        <f>IF(P21="","",P20/P9-1)</f>
        <v>#DIV/0!</v>
      </c>
      <c r="Q22" s="34"/>
      <c r="R22" s="426"/>
    </row>
    <row r="23" spans="1:18" ht="16.5" customHeight="1" x14ac:dyDescent="0.3">
      <c r="A23" s="431" t="s">
        <v>44</v>
      </c>
      <c r="B23" s="35"/>
      <c r="C23" s="36"/>
      <c r="D23" s="91">
        <v>0</v>
      </c>
      <c r="E23" s="37"/>
      <c r="F23" s="36"/>
      <c r="G23" s="91">
        <v>0.2</v>
      </c>
      <c r="H23" s="37"/>
      <c r="I23" s="36"/>
      <c r="J23" s="91">
        <v>0.2</v>
      </c>
      <c r="K23" s="37"/>
      <c r="L23" s="36"/>
      <c r="M23" s="91">
        <v>0.2</v>
      </c>
      <c r="N23" s="37"/>
      <c r="O23" s="36"/>
      <c r="P23" s="91">
        <v>0.2</v>
      </c>
      <c r="Q23" s="37"/>
      <c r="R23" s="432" t="s">
        <v>45</v>
      </c>
    </row>
    <row r="24" spans="1:18" ht="16.5" customHeight="1" x14ac:dyDescent="0.3">
      <c r="A24" s="431"/>
      <c r="B24" s="32"/>
      <c r="C24" s="12"/>
      <c r="D24" s="93"/>
      <c r="E24" s="12"/>
      <c r="F24" s="12"/>
      <c r="G24" s="93"/>
      <c r="H24" s="12"/>
      <c r="I24" s="12"/>
      <c r="J24" s="93"/>
      <c r="K24" s="12"/>
      <c r="L24" s="12"/>
      <c r="M24" s="93"/>
      <c r="N24" s="12"/>
      <c r="O24" s="12"/>
      <c r="P24" s="93"/>
      <c r="Q24" s="12"/>
      <c r="R24" s="432"/>
    </row>
    <row r="25" spans="1:18" ht="15" thickBot="1" x14ac:dyDescent="0.35"/>
    <row r="26" spans="1:18" ht="34.5" customHeight="1" thickBot="1" x14ac:dyDescent="0.35">
      <c r="B26" s="314" t="s">
        <v>46</v>
      </c>
      <c r="C26" s="343"/>
      <c r="D26" s="315"/>
      <c r="E26" s="401"/>
      <c r="F26" s="402"/>
      <c r="G26" s="315"/>
      <c r="H26" s="401"/>
      <c r="I26" s="402"/>
      <c r="J26" s="315"/>
      <c r="K26" s="401"/>
      <c r="L26" s="402"/>
      <c r="M26" s="315"/>
      <c r="N26" s="401"/>
      <c r="O26" s="402"/>
      <c r="P26" s="315"/>
    </row>
    <row r="27" spans="1:18" ht="30" customHeight="1" thickBot="1" x14ac:dyDescent="0.35">
      <c r="B27" s="427" t="s">
        <v>47</v>
      </c>
      <c r="C27" s="428"/>
      <c r="D27" s="315"/>
      <c r="E27" s="403"/>
      <c r="F27" s="402"/>
      <c r="G27" s="315"/>
      <c r="H27" s="401"/>
      <c r="I27" s="402"/>
      <c r="J27" s="315"/>
      <c r="K27" s="401"/>
      <c r="L27" s="402"/>
      <c r="M27" s="315"/>
      <c r="N27" s="401"/>
      <c r="O27" s="402"/>
      <c r="P27" s="315"/>
    </row>
    <row r="28" spans="1:18" ht="36" customHeight="1" thickBot="1" x14ac:dyDescent="0.35">
      <c r="B28" s="429" t="s">
        <v>48</v>
      </c>
      <c r="C28" s="430"/>
      <c r="D28" s="404">
        <f>IFERROR(D20*D27,"")</f>
        <v>0</v>
      </c>
      <c r="E28" s="401"/>
      <c r="F28" s="405"/>
      <c r="G28" s="404">
        <f>IFERROR(G20*G27,"")</f>
        <v>0</v>
      </c>
      <c r="H28" s="401"/>
      <c r="I28" s="405"/>
      <c r="J28" s="404">
        <f>IFERROR(J20*J27,"")</f>
        <v>0</v>
      </c>
      <c r="K28" s="401"/>
      <c r="L28" s="405"/>
      <c r="M28" s="404">
        <f>IFERROR(M20*M27,"")</f>
        <v>0</v>
      </c>
      <c r="N28" s="401"/>
      <c r="O28" s="405"/>
      <c r="P28" s="404">
        <f>IFERROR(P20*P27,"")</f>
        <v>0</v>
      </c>
    </row>
    <row r="29" spans="1:18" ht="15.75" customHeight="1" thickBot="1" x14ac:dyDescent="0.35"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</row>
    <row r="30" spans="1:18" ht="28.5" customHeight="1" thickBot="1" x14ac:dyDescent="0.35">
      <c r="B30" s="314" t="s">
        <v>49</v>
      </c>
      <c r="C30" s="343"/>
      <c r="D30" s="407"/>
      <c r="E30" s="406"/>
      <c r="F30" s="406"/>
      <c r="G30" s="407"/>
      <c r="H30" s="406"/>
      <c r="I30" s="406"/>
      <c r="J30" s="407"/>
      <c r="K30" s="406"/>
      <c r="L30" s="406"/>
      <c r="M30" s="407"/>
      <c r="N30" s="406"/>
      <c r="O30" s="406"/>
      <c r="P30" s="407"/>
    </row>
    <row r="31" spans="1:18" ht="19.5" customHeight="1" thickBot="1" x14ac:dyDescent="0.35"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</row>
    <row r="32" spans="1:18" ht="29.25" customHeight="1" thickBot="1" x14ac:dyDescent="0.35">
      <c r="B32" s="427" t="s">
        <v>50</v>
      </c>
      <c r="C32" s="428"/>
      <c r="D32" s="408">
        <f>IFERROR(D9*D27,"")</f>
        <v>0</v>
      </c>
      <c r="E32" s="406"/>
      <c r="F32" s="406"/>
      <c r="G32" s="408">
        <f>IFERROR(G9*G27,"")</f>
        <v>0</v>
      </c>
      <c r="H32" s="406"/>
      <c r="I32" s="406"/>
      <c r="J32" s="408">
        <f>IFERROR(J9*J27,"")</f>
        <v>0</v>
      </c>
      <c r="K32" s="406"/>
      <c r="L32" s="406"/>
      <c r="M32" s="408">
        <f>IFERROR(M9*M27,"")</f>
        <v>0</v>
      </c>
      <c r="N32" s="406"/>
      <c r="O32" s="406"/>
      <c r="P32" s="408">
        <f>IFERROR(P9*P27,"")</f>
        <v>0</v>
      </c>
    </row>
    <row r="33" spans="2:16" ht="23.25" customHeight="1" thickBot="1" x14ac:dyDescent="0.35">
      <c r="B33" s="427" t="s">
        <v>51</v>
      </c>
      <c r="C33" s="428"/>
      <c r="D33" s="408">
        <f>IFERROR(((D13+D15+D17+D19)*D27),"")</f>
        <v>0</v>
      </c>
      <c r="E33" s="406"/>
      <c r="F33" s="406"/>
      <c r="G33" s="408">
        <f>IFERROR(((G13+G15+G17+G19)*G27),"")</f>
        <v>0</v>
      </c>
      <c r="H33" s="406"/>
      <c r="I33" s="406"/>
      <c r="J33" s="408">
        <f>IFERROR(((J13+J15+J17+J19)*J27),"")</f>
        <v>0</v>
      </c>
      <c r="K33" s="406"/>
      <c r="L33" s="406"/>
      <c r="M33" s="408">
        <f>IFERROR(((M13+M15+M17+M19)*M27),"")</f>
        <v>0</v>
      </c>
      <c r="N33" s="406"/>
      <c r="O33" s="406"/>
      <c r="P33" s="408">
        <f>IFERROR(((P13+P15+P17+P19)*P27),"")</f>
        <v>0</v>
      </c>
    </row>
    <row r="34" spans="2:16" ht="15.75" customHeight="1" thickBot="1" x14ac:dyDescent="0.35"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</row>
    <row r="35" spans="2:16" ht="21" customHeight="1" thickBot="1" x14ac:dyDescent="0.35">
      <c r="B35" s="427" t="s">
        <v>52</v>
      </c>
      <c r="C35" s="428"/>
      <c r="D35" s="399"/>
      <c r="E35" s="406"/>
      <c r="F35" s="406"/>
      <c r="G35" s="399"/>
      <c r="H35" s="406"/>
      <c r="I35" s="406"/>
      <c r="J35" s="399"/>
      <c r="K35" s="406"/>
      <c r="L35" s="406"/>
      <c r="M35" s="399"/>
      <c r="N35" s="406"/>
      <c r="O35" s="406"/>
      <c r="P35" s="399"/>
    </row>
    <row r="36" spans="2:16" ht="15" thickBot="1" x14ac:dyDescent="0.35"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</row>
    <row r="37" spans="2:16" ht="21" customHeight="1" thickBot="1" x14ac:dyDescent="0.35">
      <c r="B37" s="314" t="s">
        <v>53</v>
      </c>
      <c r="C37" s="343"/>
      <c r="D37" s="346" t="str">
        <f>IFERROR(IF(D9="","",((D20-D17-D15-D13-D11-D9-D19)-((D20-D17-D15-D13-D11-D9-D19+D2)*D35))/D20),"")</f>
        <v/>
      </c>
      <c r="E37" s="409"/>
      <c r="F37" s="409"/>
      <c r="G37" s="346" t="str">
        <f>IFERROR(IF(G9="","",((G20-G17-G15-G13-G11-G9-G19)-((G20-G17-G15-G13-G11-G9-G19+G2)*G35))/G20),"")</f>
        <v/>
      </c>
      <c r="H37" s="409"/>
      <c r="I37" s="409"/>
      <c r="J37" s="346" t="str">
        <f>IFERROR(IF(J9="","",((J20-J17-J15-J13-J11-J9-J19)-((J20-J17-J15-J13-J11-J9-J19+J2)*J35))/J20),"")</f>
        <v/>
      </c>
      <c r="K37" s="409"/>
      <c r="L37" s="409"/>
      <c r="M37" s="346" t="str">
        <f>IFERROR(IF(M9="","",((M20-M17-M15-M13-M11-M9-M19)-((M20-M17-M15-M13-M11-M9-M19+M2)*M35))/M20),"")</f>
        <v/>
      </c>
      <c r="N37" s="409"/>
      <c r="O37" s="409"/>
      <c r="P37" s="346" t="str">
        <f>IFERROR(IF(P9="","",((P20-P17-P15-P13-P11-P9-P19)-((P20-P17-P15-P13-P11-P9-P19+P2)*P35))/P20),"")</f>
        <v/>
      </c>
    </row>
    <row r="38" spans="2:16" ht="18.899999999999999" customHeight="1" thickBot="1" x14ac:dyDescent="0.35">
      <c r="B38" s="397" t="s">
        <v>54</v>
      </c>
      <c r="C38" s="398"/>
      <c r="D38" s="410" t="str">
        <f>IFERROR((D37*D28),"")</f>
        <v/>
      </c>
      <c r="E38" s="406"/>
      <c r="F38" s="406"/>
      <c r="G38" s="410" t="str">
        <f>IFERROR((G37*G28),"")</f>
        <v/>
      </c>
      <c r="H38" s="406"/>
      <c r="I38" s="406"/>
      <c r="J38" s="410" t="str">
        <f>IFERROR((J37*J28),"")</f>
        <v/>
      </c>
      <c r="K38" s="406"/>
      <c r="L38" s="406"/>
      <c r="M38" s="410" t="str">
        <f>IFERROR((M37*M28),"")</f>
        <v/>
      </c>
      <c r="N38" s="406"/>
      <c r="O38" s="406"/>
      <c r="P38" s="410" t="str">
        <f>IFERROR((P37*P28),"")</f>
        <v/>
      </c>
    </row>
    <row r="39" spans="2:16" ht="15" thickBot="1" x14ac:dyDescent="0.35">
      <c r="D39" s="406"/>
      <c r="E39" s="406"/>
      <c r="F39" s="406"/>
      <c r="G39" s="406"/>
      <c r="H39" s="406"/>
      <c r="I39" s="406"/>
      <c r="J39" s="406"/>
      <c r="K39" s="406"/>
      <c r="L39" s="406"/>
      <c r="M39" s="406"/>
      <c r="N39" s="406"/>
      <c r="O39" s="406"/>
      <c r="P39" s="406"/>
    </row>
    <row r="40" spans="2:16" ht="18.899999999999999" customHeight="1" thickBot="1" x14ac:dyDescent="0.35">
      <c r="B40" s="427" t="s">
        <v>55</v>
      </c>
      <c r="C40" s="428"/>
      <c r="D40" s="400"/>
      <c r="E40" s="406"/>
      <c r="F40" s="406"/>
      <c r="G40" s="400"/>
      <c r="H40" s="406"/>
      <c r="I40" s="406"/>
      <c r="J40" s="400"/>
      <c r="K40" s="406"/>
      <c r="L40" s="406"/>
      <c r="M40" s="400"/>
      <c r="N40" s="406"/>
      <c r="O40" s="406"/>
      <c r="P40" s="400"/>
    </row>
    <row r="41" spans="2:16" ht="19.5" customHeight="1" thickBot="1" x14ac:dyDescent="0.35">
      <c r="B41" s="427" t="s">
        <v>56</v>
      </c>
      <c r="C41" s="428"/>
      <c r="D41" s="346" t="str">
        <f>IFERROR(IF(D9="","",((D20-D17-D15-D13-D11-D9-D19)-((D20-D17-D15-D13-D11-D9-D19+D2)*D35)-(D40*D20))/D20),"")</f>
        <v/>
      </c>
      <c r="E41" s="406"/>
      <c r="F41" s="406"/>
      <c r="G41" s="346" t="str">
        <f>IFERROR(IF(G9="","",((G20-G17-G15-G13-G11-G9-G19)-((G20-G17-G15-G13-G11-G9-G19+G2)*G35)-(G40*G20))/G20),"")</f>
        <v/>
      </c>
      <c r="H41" s="406"/>
      <c r="I41" s="406"/>
      <c r="J41" s="346" t="str">
        <f>IFERROR(IF(J9="","",((J20-J17-J15-J13-J11-J9-J19)-((J20-J17-J15-J13-J11-J9-J19+J2)*J35)-(J40*J20))/J20),"")</f>
        <v/>
      </c>
      <c r="K41" s="406"/>
      <c r="L41" s="406"/>
      <c r="M41" s="346" t="str">
        <f>IFERROR(IF(M9="","",((M20-M17-M15-M13-M11-M9-M19)-((M20-M17-M15-M13-M11-M9-M19+M2)*M35)-(M40*M20))/M20),"")</f>
        <v/>
      </c>
      <c r="N41" s="406"/>
      <c r="O41" s="406"/>
      <c r="P41" s="346" t="str">
        <f>IFERROR(IF(P9="","",((P20-P17-P15-P13-P11-P9-P19)-((P20-P17-P15-P13-P11-P9-P19+P2)*P35)-(P40*P20))/P20),"")</f>
        <v/>
      </c>
    </row>
    <row r="42" spans="2:16" ht="19.5" customHeight="1" thickBot="1" x14ac:dyDescent="0.35">
      <c r="B42" s="429" t="s">
        <v>57</v>
      </c>
      <c r="C42" s="430"/>
      <c r="D42" s="410">
        <f>IFERROR((D38-(D40*D20)),0)</f>
        <v>0</v>
      </c>
      <c r="E42" s="406"/>
      <c r="F42" s="406"/>
      <c r="G42" s="410">
        <f>IFERROR((G38-(G40*G20)),0)</f>
        <v>0</v>
      </c>
      <c r="H42" s="406"/>
      <c r="I42" s="406"/>
      <c r="J42" s="410">
        <f>IFERROR((J38-(J40*J20)),0)</f>
        <v>0</v>
      </c>
      <c r="K42" s="406"/>
      <c r="L42" s="406"/>
      <c r="M42" s="410">
        <f>IFERROR((M38-(M40*M20)),0)</f>
        <v>0</v>
      </c>
      <c r="N42" s="406"/>
      <c r="O42" s="406"/>
      <c r="P42" s="410">
        <f>IFERROR((P38-(P40*P20)),0)</f>
        <v>0</v>
      </c>
    </row>
  </sheetData>
  <sheetProtection sheet="1" objects="1" scenarios="1"/>
  <mergeCells count="14">
    <mergeCell ref="B42:C42"/>
    <mergeCell ref="B32:C32"/>
    <mergeCell ref="B33:C33"/>
    <mergeCell ref="B35:C35"/>
    <mergeCell ref="B40:C40"/>
    <mergeCell ref="B41:C41"/>
    <mergeCell ref="A23:A24"/>
    <mergeCell ref="R23:R24"/>
    <mergeCell ref="B28:C28"/>
    <mergeCell ref="R1:R9"/>
    <mergeCell ref="R10:R11"/>
    <mergeCell ref="R12:R20"/>
    <mergeCell ref="R21:R22"/>
    <mergeCell ref="B27:C27"/>
  </mergeCells>
  <pageMargins left="0.511811024" right="0.511811024" top="0.78740157499999996" bottom="0.78740157499999996" header="0.31496062000000002" footer="0.31496062000000002"/>
  <ignoredErrors>
    <ignoredError sqref="G21:G22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Button 10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Button 11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Button 12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5" name="Button 13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6" name="Button 14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7" name="Button 15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8" name="Button 16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9" name="Button 17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0" name="Button 18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1" name="Button 19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2" name="Button 20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3" name="Button 21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4" name="Button 22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5" name="Button 23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6" name="Button 24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7" name="Button 25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8" name="Button 26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9" name="Button 27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0" name="Button 28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1" name="Button 29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2" name="Button 30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3" name="Button 31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4" name="Button 32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5" name="Button 33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6" name="Button 34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7" name="Button 35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8" name="Button 36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9" name="Button 37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0" name="Button 38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1" name="Button 39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2" name="Button 40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3" name="Button 41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4" name="Button 42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5" name="Button 43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6" name="Button 44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7" name="Button 45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8" name="Button 46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9" name="Button 47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0" name="Button 48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tabColor theme="5" tint="0.79998168889431442"/>
  </sheetPr>
  <dimension ref="A1:T42"/>
  <sheetViews>
    <sheetView zoomScale="70" zoomScaleNormal="70" workbookViewId="0">
      <selection activeCell="G20" sqref="G20"/>
    </sheetView>
  </sheetViews>
  <sheetFormatPr defaultColWidth="9.109375" defaultRowHeight="14.4" x14ac:dyDescent="0.3"/>
  <cols>
    <col min="1" max="1" width="39.109375" style="65" customWidth="1"/>
    <col min="2" max="2" width="39.33203125" style="65" customWidth="1"/>
    <col min="3" max="3" width="3.6640625" style="65" customWidth="1"/>
    <col min="4" max="4" width="17.6640625" style="65" bestFit="1" customWidth="1"/>
    <col min="5" max="6" width="3.6640625" style="65" customWidth="1"/>
    <col min="7" max="7" width="17.6640625" style="65" bestFit="1" customWidth="1"/>
    <col min="8" max="9" width="3.6640625" style="65" customWidth="1"/>
    <col min="10" max="10" width="17.6640625" style="65" bestFit="1" customWidth="1"/>
    <col min="11" max="12" width="3.6640625" style="65" customWidth="1"/>
    <col min="13" max="13" width="17.6640625" style="65" bestFit="1" customWidth="1"/>
    <col min="14" max="15" width="3.6640625" style="65" customWidth="1"/>
    <col min="16" max="16" width="17.6640625" style="65" bestFit="1" customWidth="1"/>
    <col min="17" max="17" width="3.6640625" style="65" customWidth="1"/>
    <col min="18" max="18" width="10" style="65" bestFit="1" customWidth="1"/>
    <col min="19" max="19" width="9.109375" style="65"/>
    <col min="20" max="20" width="9.33203125" style="65" bestFit="1" customWidth="1"/>
    <col min="21" max="16384" width="9.109375" style="65"/>
  </cols>
  <sheetData>
    <row r="1" spans="1:20" s="66" customFormat="1" ht="16.5" customHeight="1" x14ac:dyDescent="0.3">
      <c r="A1" s="6"/>
      <c r="B1" s="108"/>
      <c r="C1" s="18"/>
      <c r="D1" s="72">
        <v>0</v>
      </c>
      <c r="E1" s="73"/>
      <c r="F1" s="74"/>
      <c r="G1" s="72">
        <v>0</v>
      </c>
      <c r="H1" s="73"/>
      <c r="I1" s="74"/>
      <c r="J1" s="72">
        <v>0</v>
      </c>
      <c r="K1" s="73"/>
      <c r="L1" s="74"/>
      <c r="M1" s="72">
        <v>0</v>
      </c>
      <c r="N1" s="73"/>
      <c r="O1" s="74"/>
      <c r="P1" s="72">
        <v>0</v>
      </c>
      <c r="Q1" s="73"/>
      <c r="R1" s="423" t="s">
        <v>13</v>
      </c>
    </row>
    <row r="2" spans="1:20" ht="16.5" customHeight="1" x14ac:dyDescent="0.3">
      <c r="A2" s="2" t="s">
        <v>14</v>
      </c>
      <c r="B2" s="17" t="s">
        <v>60</v>
      </c>
      <c r="C2" s="10"/>
      <c r="D2" s="272">
        <f>D20*D3</f>
        <v>0</v>
      </c>
      <c r="E2" s="272"/>
      <c r="F2" s="273"/>
      <c r="G2" s="272">
        <f>G20*G3</f>
        <v>0</v>
      </c>
      <c r="H2" s="272"/>
      <c r="I2" s="273"/>
      <c r="J2" s="272">
        <f>J20*J3</f>
        <v>0</v>
      </c>
      <c r="K2" s="272"/>
      <c r="L2" s="273"/>
      <c r="M2" s="272">
        <f>M20*M3</f>
        <v>0</v>
      </c>
      <c r="N2" s="272"/>
      <c r="O2" s="273"/>
      <c r="P2" s="272">
        <f>P20*P3</f>
        <v>0</v>
      </c>
      <c r="Q2" s="272"/>
      <c r="R2" s="423"/>
    </row>
    <row r="3" spans="1:20" ht="16.5" customHeight="1" x14ac:dyDescent="0.3">
      <c r="A3" s="6" t="s">
        <v>64</v>
      </c>
      <c r="B3" s="108" t="s">
        <v>65</v>
      </c>
      <c r="C3" s="18"/>
      <c r="D3" s="76">
        <v>0.1</v>
      </c>
      <c r="E3" s="77"/>
      <c r="F3" s="74"/>
      <c r="G3" s="76">
        <v>0.1</v>
      </c>
      <c r="H3" s="77"/>
      <c r="I3" s="74"/>
      <c r="J3" s="76">
        <v>0.1</v>
      </c>
      <c r="K3" s="77"/>
      <c r="L3" s="74"/>
      <c r="M3" s="76">
        <v>0.1</v>
      </c>
      <c r="N3" s="77"/>
      <c r="O3" s="74"/>
      <c r="P3" s="76">
        <v>0.1</v>
      </c>
      <c r="Q3" s="19"/>
      <c r="R3" s="423"/>
    </row>
    <row r="4" spans="1:20" ht="21.6" customHeight="1" x14ac:dyDescent="0.3">
      <c r="A4" s="2" t="s">
        <v>62</v>
      </c>
      <c r="B4" s="109" t="s">
        <v>66</v>
      </c>
      <c r="C4" s="14"/>
      <c r="D4" s="110"/>
      <c r="E4" s="111"/>
      <c r="F4" s="112"/>
      <c r="G4" s="110"/>
      <c r="H4" s="111"/>
      <c r="I4" s="112"/>
      <c r="J4" s="110"/>
      <c r="K4" s="111"/>
      <c r="L4" s="112"/>
      <c r="M4" s="110"/>
      <c r="N4" s="111"/>
      <c r="O4" s="112"/>
      <c r="P4" s="110"/>
      <c r="Q4" s="15"/>
      <c r="R4" s="423"/>
    </row>
    <row r="5" spans="1:20" ht="23.4" customHeight="1" x14ac:dyDescent="0.3">
      <c r="A5" s="6" t="s">
        <v>20</v>
      </c>
      <c r="B5" s="108" t="s">
        <v>21</v>
      </c>
      <c r="C5" s="18"/>
      <c r="D5" s="76">
        <v>9.2499999999999999E-2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19"/>
      <c r="R5" s="423"/>
    </row>
    <row r="6" spans="1:20" ht="20.25" customHeight="1" x14ac:dyDescent="0.3">
      <c r="A6" s="2" t="s">
        <v>22</v>
      </c>
      <c r="B6" s="17"/>
      <c r="C6" s="10"/>
      <c r="D6" s="11">
        <f>D4*D5</f>
        <v>0</v>
      </c>
      <c r="E6" s="11"/>
      <c r="F6" s="10"/>
      <c r="G6" s="11">
        <f>G4*G5</f>
        <v>0</v>
      </c>
      <c r="H6" s="11"/>
      <c r="I6" s="10"/>
      <c r="J6" s="11">
        <f>J4*J5</f>
        <v>0</v>
      </c>
      <c r="K6" s="11"/>
      <c r="L6" s="10"/>
      <c r="M6" s="11">
        <f>M4*M5</f>
        <v>0</v>
      </c>
      <c r="N6" s="11"/>
      <c r="O6" s="10"/>
      <c r="P6" s="11">
        <f>P4*P5</f>
        <v>0</v>
      </c>
      <c r="Q6" s="11"/>
      <c r="R6" s="423"/>
    </row>
    <row r="7" spans="1:20" s="67" customFormat="1" ht="1.5" hidden="1" customHeight="1" x14ac:dyDescent="0.3">
      <c r="A7" s="55" t="s">
        <v>23</v>
      </c>
      <c r="B7" s="43" t="s">
        <v>24</v>
      </c>
      <c r="C7" s="53"/>
      <c r="D7" s="56">
        <v>0</v>
      </c>
      <c r="E7" s="57"/>
      <c r="F7" s="53"/>
      <c r="G7" s="56">
        <v>0</v>
      </c>
      <c r="H7" s="57"/>
      <c r="I7" s="53"/>
      <c r="J7" s="56">
        <v>0</v>
      </c>
      <c r="K7" s="57"/>
      <c r="L7" s="53"/>
      <c r="M7" s="56">
        <v>0</v>
      </c>
      <c r="N7" s="57"/>
      <c r="O7" s="53"/>
      <c r="P7" s="56">
        <v>0</v>
      </c>
      <c r="Q7" s="57"/>
      <c r="R7" s="423"/>
    </row>
    <row r="8" spans="1:20" ht="1.5" customHeight="1" x14ac:dyDescent="0.3">
      <c r="A8" s="58" t="s">
        <v>25</v>
      </c>
      <c r="B8" s="43"/>
      <c r="C8" s="54"/>
      <c r="D8" s="52">
        <f>D4*D7</f>
        <v>0</v>
      </c>
      <c r="E8" s="52"/>
      <c r="F8" s="54"/>
      <c r="G8" s="52">
        <f>G4*G7</f>
        <v>0</v>
      </c>
      <c r="H8" s="52"/>
      <c r="I8" s="54"/>
      <c r="J8" s="52">
        <f>J4*J7</f>
        <v>0</v>
      </c>
      <c r="K8" s="52"/>
      <c r="L8" s="54"/>
      <c r="M8" s="52">
        <f>M4*M7</f>
        <v>0</v>
      </c>
      <c r="N8" s="52"/>
      <c r="O8" s="54"/>
      <c r="P8" s="52">
        <f>P4*P7</f>
        <v>0</v>
      </c>
      <c r="Q8" s="52"/>
      <c r="R8" s="423"/>
    </row>
    <row r="9" spans="1:20" ht="16.5" customHeight="1" x14ac:dyDescent="0.3">
      <c r="A9" s="63" t="s">
        <v>26</v>
      </c>
      <c r="B9" s="59"/>
      <c r="C9" s="60"/>
      <c r="D9" s="61">
        <f>D1+D2+D4-D6-D8</f>
        <v>0</v>
      </c>
      <c r="E9" s="62"/>
      <c r="F9" s="60"/>
      <c r="G9" s="61">
        <f>G1+G2+G4-G6-G8</f>
        <v>0</v>
      </c>
      <c r="H9" s="62"/>
      <c r="I9" s="60"/>
      <c r="J9" s="61">
        <f>J1+J2+J4-J6-J8</f>
        <v>0</v>
      </c>
      <c r="K9" s="62"/>
      <c r="L9" s="60"/>
      <c r="M9" s="61">
        <f>M1+M2+M4-M6-M8</f>
        <v>0</v>
      </c>
      <c r="N9" s="62"/>
      <c r="O9" s="60"/>
      <c r="P9" s="61">
        <f>P1+P2+P4-P6-P8</f>
        <v>0</v>
      </c>
      <c r="Q9" s="62"/>
      <c r="R9" s="423"/>
      <c r="T9" s="68"/>
    </row>
    <row r="10" spans="1:20" ht="0.75" customHeight="1" x14ac:dyDescent="0.3">
      <c r="A10" s="47" t="s">
        <v>27</v>
      </c>
      <c r="B10" s="44"/>
      <c r="C10" s="48"/>
      <c r="D10" s="49">
        <v>0</v>
      </c>
      <c r="E10" s="49"/>
      <c r="F10" s="48"/>
      <c r="G10" s="49">
        <v>0</v>
      </c>
      <c r="H10" s="49"/>
      <c r="I10" s="48"/>
      <c r="J10" s="49">
        <v>0</v>
      </c>
      <c r="K10" s="49"/>
      <c r="L10" s="48"/>
      <c r="M10" s="49">
        <v>0</v>
      </c>
      <c r="N10" s="49"/>
      <c r="O10" s="48"/>
      <c r="P10" s="49">
        <v>0</v>
      </c>
      <c r="Q10" s="49"/>
      <c r="R10" s="424" t="s">
        <v>13</v>
      </c>
    </row>
    <row r="11" spans="1:20" ht="0.75" customHeight="1" x14ac:dyDescent="0.3">
      <c r="A11" s="50" t="s">
        <v>28</v>
      </c>
      <c r="B11" s="51"/>
      <c r="C11" s="52"/>
      <c r="D11" s="52">
        <f>D20*D10</f>
        <v>0</v>
      </c>
      <c r="E11" s="52"/>
      <c r="F11" s="52"/>
      <c r="G11" s="52">
        <f>G20*G10</f>
        <v>0</v>
      </c>
      <c r="H11" s="52"/>
      <c r="I11" s="52"/>
      <c r="J11" s="52">
        <f>J20*J10</f>
        <v>0</v>
      </c>
      <c r="K11" s="52"/>
      <c r="L11" s="52"/>
      <c r="M11" s="52">
        <f>M20*M10</f>
        <v>0</v>
      </c>
      <c r="N11" s="52"/>
      <c r="O11" s="52"/>
      <c r="P11" s="52">
        <f>P20*P10</f>
        <v>0</v>
      </c>
      <c r="Q11" s="52"/>
      <c r="R11" s="424"/>
    </row>
    <row r="12" spans="1:20" ht="16.5" customHeight="1" x14ac:dyDescent="0.3">
      <c r="A12" s="3" t="s">
        <v>29</v>
      </c>
      <c r="B12" s="106" t="s">
        <v>30</v>
      </c>
      <c r="C12" s="45"/>
      <c r="D12" s="80">
        <v>0.02</v>
      </c>
      <c r="E12" s="81"/>
      <c r="F12" s="82"/>
      <c r="G12" s="83">
        <v>0.02</v>
      </c>
      <c r="H12" s="81"/>
      <c r="I12" s="82"/>
      <c r="J12" s="84">
        <v>0.02</v>
      </c>
      <c r="K12" s="81"/>
      <c r="L12" s="82"/>
      <c r="M12" s="84">
        <v>0.02</v>
      </c>
      <c r="N12" s="81"/>
      <c r="O12" s="82"/>
      <c r="P12" s="84">
        <v>0.02</v>
      </c>
      <c r="Q12" s="46"/>
      <c r="R12" s="425" t="s">
        <v>31</v>
      </c>
    </row>
    <row r="13" spans="1:20" ht="16.5" customHeight="1" x14ac:dyDescent="0.3">
      <c r="A13" s="4" t="s">
        <v>32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16.5" customHeight="1" x14ac:dyDescent="0.3">
      <c r="A14" s="3" t="s">
        <v>33</v>
      </c>
      <c r="B14" s="106" t="s">
        <v>34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39"/>
      <c r="R14" s="425"/>
    </row>
    <row r="15" spans="1:20" ht="16.5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16.5" customHeight="1" x14ac:dyDescent="0.3">
      <c r="A16" s="3"/>
      <c r="B16" s="106"/>
      <c r="C16" s="38"/>
      <c r="D16" s="308"/>
      <c r="E16" s="86"/>
      <c r="F16" s="87"/>
      <c r="G16" s="308"/>
      <c r="H16" s="86"/>
      <c r="I16" s="87"/>
      <c r="J16" s="308"/>
      <c r="K16" s="86"/>
      <c r="L16" s="87"/>
      <c r="M16" s="308"/>
      <c r="N16" s="86"/>
      <c r="O16" s="87"/>
      <c r="P16" s="308"/>
      <c r="Q16" s="39"/>
      <c r="R16" s="425"/>
    </row>
    <row r="17" spans="1:18" ht="16.5" customHeight="1" x14ac:dyDescent="0.3">
      <c r="A17" s="4"/>
      <c r="B17" s="26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425"/>
    </row>
    <row r="18" spans="1:18" ht="16.5" customHeight="1" x14ac:dyDescent="0.3">
      <c r="A18" s="3" t="s">
        <v>36</v>
      </c>
      <c r="B18" s="106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39"/>
      <c r="R18" s="425"/>
    </row>
    <row r="19" spans="1:18" ht="16.5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16.5" customHeight="1" thickBot="1" x14ac:dyDescent="0.35">
      <c r="A20" s="3" t="s">
        <v>39</v>
      </c>
      <c r="B20" s="23" t="s">
        <v>67</v>
      </c>
      <c r="C20" s="27"/>
      <c r="D20" s="274"/>
      <c r="E20" s="275"/>
      <c r="F20" s="276"/>
      <c r="G20" s="274"/>
      <c r="H20" s="275"/>
      <c r="I20" s="276"/>
      <c r="J20" s="274">
        <v>0</v>
      </c>
      <c r="K20" s="275"/>
      <c r="L20" s="276"/>
      <c r="M20" s="274">
        <v>0</v>
      </c>
      <c r="N20" s="275"/>
      <c r="O20" s="276"/>
      <c r="P20" s="274">
        <v>0</v>
      </c>
      <c r="Q20" s="28"/>
      <c r="R20" s="425"/>
    </row>
    <row r="21" spans="1:18" ht="16.5" customHeight="1" thickBot="1" x14ac:dyDescent="0.35">
      <c r="A21" s="7" t="s">
        <v>41</v>
      </c>
      <c r="B21" s="33"/>
      <c r="C21" s="29"/>
      <c r="D21" s="30" t="e">
        <f>IF(D9="","",(D20-D17-D15-D13-D11-D9-D19)/D9)</f>
        <v>#DIV/0!</v>
      </c>
      <c r="E21" s="31"/>
      <c r="F21" s="29"/>
      <c r="G21" s="30" t="e">
        <f>IF(G9="","",(G20-G17-G15-G13-G11-G9-G19)/G9)</f>
        <v>#DIV/0!</v>
      </c>
      <c r="H21" s="31"/>
      <c r="I21" s="29"/>
      <c r="J21" s="30" t="e">
        <f>IF(J9="","",(J20-J17-J15-J13-J11-J9-J19)/J9)</f>
        <v>#DIV/0!</v>
      </c>
      <c r="K21" s="31"/>
      <c r="L21" s="29"/>
      <c r="M21" s="30" t="e">
        <f>IF(M9="","",(M20-M17-M15-M13-M11-M9-M19)/M9)</f>
        <v>#DIV/0!</v>
      </c>
      <c r="N21" s="31"/>
      <c r="O21" s="29"/>
      <c r="P21" s="30" t="e">
        <f>IF(P9="","",(P20-P17-P15-P13-P11-P9-P19)/P9)</f>
        <v>#DIV/0!</v>
      </c>
      <c r="Q21" s="31"/>
      <c r="R21" s="426" t="s">
        <v>42</v>
      </c>
    </row>
    <row r="22" spans="1:18" ht="16.5" customHeight="1" x14ac:dyDescent="0.3">
      <c r="A22" s="8" t="s">
        <v>43</v>
      </c>
      <c r="B22" s="24"/>
      <c r="C22" s="25"/>
      <c r="D22" s="34" t="e">
        <f>IF(D21="","",D20/D9-1)</f>
        <v>#DIV/0!</v>
      </c>
      <c r="E22" s="34"/>
      <c r="F22" s="25"/>
      <c r="G22" s="34" t="e">
        <f>IF(G21="","",G20/G9-1)</f>
        <v>#DIV/0!</v>
      </c>
      <c r="H22" s="34"/>
      <c r="I22" s="25"/>
      <c r="J22" s="34" t="e">
        <f>IF(J21="","",J20/J9-1)</f>
        <v>#DIV/0!</v>
      </c>
      <c r="K22" s="34"/>
      <c r="L22" s="25"/>
      <c r="M22" s="34" t="e">
        <f>IF(M21="","",M20/M9-1)</f>
        <v>#DIV/0!</v>
      </c>
      <c r="N22" s="34"/>
      <c r="O22" s="25"/>
      <c r="P22" s="34" t="e">
        <f>IF(P21="","",P20/P9-1)</f>
        <v>#DIV/0!</v>
      </c>
      <c r="Q22" s="34"/>
      <c r="R22" s="426"/>
    </row>
    <row r="23" spans="1:18" ht="16.5" customHeight="1" x14ac:dyDescent="0.3">
      <c r="A23" s="431" t="s">
        <v>44</v>
      </c>
      <c r="B23" s="35"/>
      <c r="C23" s="36"/>
      <c r="D23" s="91">
        <v>0.2</v>
      </c>
      <c r="E23" s="37"/>
      <c r="F23" s="36"/>
      <c r="G23" s="91">
        <v>0.2</v>
      </c>
      <c r="H23" s="37"/>
      <c r="I23" s="36"/>
      <c r="J23" s="91">
        <v>0.2</v>
      </c>
      <c r="K23" s="37"/>
      <c r="L23" s="36"/>
      <c r="M23" s="91">
        <v>0.2</v>
      </c>
      <c r="N23" s="37"/>
      <c r="O23" s="36"/>
      <c r="P23" s="91">
        <v>0.2</v>
      </c>
      <c r="Q23" s="37"/>
      <c r="R23" s="432" t="s">
        <v>45</v>
      </c>
    </row>
    <row r="24" spans="1:18" ht="16.5" customHeight="1" x14ac:dyDescent="0.3">
      <c r="A24" s="431"/>
      <c r="B24" s="3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432"/>
    </row>
    <row r="25" spans="1:18" ht="15" thickBot="1" x14ac:dyDescent="0.35"/>
    <row r="26" spans="1:18" ht="28.5" customHeight="1" thickBot="1" x14ac:dyDescent="0.35">
      <c r="B26" s="314" t="s">
        <v>46</v>
      </c>
      <c r="C26" s="343"/>
      <c r="D26" s="315"/>
      <c r="E26" s="401"/>
      <c r="F26" s="402"/>
      <c r="G26" s="315"/>
      <c r="H26" s="401"/>
      <c r="I26" s="402"/>
      <c r="J26" s="315"/>
      <c r="K26" s="401"/>
      <c r="L26" s="402"/>
      <c r="M26" s="315"/>
      <c r="N26" s="401"/>
      <c r="O26" s="402"/>
      <c r="P26" s="315"/>
    </row>
    <row r="27" spans="1:18" ht="31.5" customHeight="1" thickBot="1" x14ac:dyDescent="0.35">
      <c r="B27" s="427" t="s">
        <v>47</v>
      </c>
      <c r="C27" s="428"/>
      <c r="D27" s="315">
        <v>1</v>
      </c>
      <c r="E27" s="403"/>
      <c r="F27" s="402"/>
      <c r="G27" s="315"/>
      <c r="H27" s="401"/>
      <c r="I27" s="402"/>
      <c r="J27" s="315"/>
      <c r="K27" s="401"/>
      <c r="L27" s="402"/>
      <c r="M27" s="315"/>
      <c r="N27" s="401"/>
      <c r="O27" s="402"/>
      <c r="P27" s="315"/>
    </row>
    <row r="28" spans="1:18" ht="28.5" customHeight="1" thickBot="1" x14ac:dyDescent="0.35">
      <c r="B28" s="429" t="s">
        <v>48</v>
      </c>
      <c r="C28" s="430"/>
      <c r="D28" s="404">
        <f>IFERROR(D20*D27,"")</f>
        <v>0</v>
      </c>
      <c r="E28" s="401"/>
      <c r="F28" s="405"/>
      <c r="G28" s="404">
        <f>IFERROR(G20*G27,"")</f>
        <v>0</v>
      </c>
      <c r="H28" s="401"/>
      <c r="I28" s="405"/>
      <c r="J28" s="404">
        <f>IFERROR(J20*J27,"")</f>
        <v>0</v>
      </c>
      <c r="K28" s="401"/>
      <c r="L28" s="405"/>
      <c r="M28" s="404">
        <f>IFERROR(M20*M27,"")</f>
        <v>0</v>
      </c>
      <c r="N28" s="401"/>
      <c r="O28" s="405"/>
      <c r="P28" s="404">
        <f>IFERROR(P20*P27,"")</f>
        <v>0</v>
      </c>
    </row>
    <row r="29" spans="1:18" ht="15.75" customHeight="1" thickBot="1" x14ac:dyDescent="0.35"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</row>
    <row r="30" spans="1:18" ht="26.25" customHeight="1" thickBot="1" x14ac:dyDescent="0.35">
      <c r="B30" s="314" t="s">
        <v>49</v>
      </c>
      <c r="C30" s="343"/>
      <c r="D30" s="407"/>
      <c r="E30" s="406"/>
      <c r="F30" s="406"/>
      <c r="G30" s="407"/>
      <c r="H30" s="406"/>
      <c r="I30" s="406"/>
      <c r="J30" s="407"/>
      <c r="K30" s="406"/>
      <c r="L30" s="406"/>
      <c r="M30" s="407"/>
      <c r="N30" s="406"/>
      <c r="O30" s="406"/>
      <c r="P30" s="407"/>
    </row>
    <row r="31" spans="1:18" ht="19.5" customHeight="1" thickBot="1" x14ac:dyDescent="0.35"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</row>
    <row r="32" spans="1:18" ht="19.5" customHeight="1" thickBot="1" x14ac:dyDescent="0.35">
      <c r="B32" s="427" t="s">
        <v>50</v>
      </c>
      <c r="C32" s="428"/>
      <c r="D32" s="408">
        <f>IFERROR(D9*D27,"")</f>
        <v>0</v>
      </c>
      <c r="E32" s="406"/>
      <c r="F32" s="406"/>
      <c r="G32" s="408">
        <f>IFERROR(G9*G27,"")</f>
        <v>0</v>
      </c>
      <c r="H32" s="406"/>
      <c r="I32" s="406"/>
      <c r="J32" s="408">
        <f>IFERROR(J9*J27,"")</f>
        <v>0</v>
      </c>
      <c r="K32" s="406"/>
      <c r="L32" s="406"/>
      <c r="M32" s="408">
        <f>IFERROR(M9*M27,"")</f>
        <v>0</v>
      </c>
      <c r="N32" s="406"/>
      <c r="O32" s="406"/>
      <c r="P32" s="408">
        <f>IFERROR(P9*P27,"")</f>
        <v>0</v>
      </c>
    </row>
    <row r="33" spans="2:16" ht="19.5" customHeight="1" thickBot="1" x14ac:dyDescent="0.35">
      <c r="B33" s="427" t="s">
        <v>51</v>
      </c>
      <c r="C33" s="428"/>
      <c r="D33" s="408">
        <f>IFERROR(((D13+D15+D17+D19)*D27),"")</f>
        <v>0</v>
      </c>
      <c r="E33" s="406"/>
      <c r="F33" s="406"/>
      <c r="G33" s="408">
        <f>IFERROR(((G13+G15+G17+G19)*G27),"")</f>
        <v>0</v>
      </c>
      <c r="H33" s="406"/>
      <c r="I33" s="406"/>
      <c r="J33" s="408">
        <f>IFERROR(((J13+J15+J17+J19)*J27),"")</f>
        <v>0</v>
      </c>
      <c r="K33" s="406"/>
      <c r="L33" s="406"/>
      <c r="M33" s="408">
        <f>IFERROR(((M13+M15+M17+M19)*M27),"")</f>
        <v>0</v>
      </c>
      <c r="N33" s="406"/>
      <c r="O33" s="406"/>
      <c r="P33" s="408">
        <f>IFERROR(((P13+P15+P17+P19)*P27),"")</f>
        <v>0</v>
      </c>
    </row>
    <row r="34" spans="2:16" ht="19.5" customHeight="1" thickBot="1" x14ac:dyDescent="0.35"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</row>
    <row r="35" spans="2:16" ht="22.5" customHeight="1" thickBot="1" x14ac:dyDescent="0.35">
      <c r="B35" s="427" t="s">
        <v>52</v>
      </c>
      <c r="C35" s="428"/>
      <c r="D35" s="399">
        <v>0.13</v>
      </c>
      <c r="E35" s="406"/>
      <c r="F35" s="406"/>
      <c r="G35" s="399"/>
      <c r="H35" s="406"/>
      <c r="I35" s="406"/>
      <c r="J35" s="399"/>
      <c r="K35" s="406"/>
      <c r="L35" s="406"/>
      <c r="M35" s="399"/>
      <c r="N35" s="406"/>
      <c r="O35" s="406"/>
      <c r="P35" s="399"/>
    </row>
    <row r="36" spans="2:16" ht="19.5" customHeight="1" thickBot="1" x14ac:dyDescent="0.35"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</row>
    <row r="37" spans="2:16" ht="27" customHeight="1" thickBot="1" x14ac:dyDescent="0.35">
      <c r="B37" s="314" t="s">
        <v>53</v>
      </c>
      <c r="C37" s="343"/>
      <c r="D37" s="346" t="str">
        <f>IFERROR(IF(D9="","",((D20-D17-D15-D13-D11-D9-D19)-((D20-D17-D15-D13-D11-D9-D19+D2)*D35))/D20),"")</f>
        <v/>
      </c>
      <c r="E37" s="409"/>
      <c r="F37" s="409"/>
      <c r="G37" s="346" t="str">
        <f>IFERROR(IF(G9="","",((G20-G17-G15-G13-G11-G9-G19)-((G20-G17-G15-G13-G11-G9-G19+G2)*G35))/G20),"")</f>
        <v/>
      </c>
      <c r="H37" s="409"/>
      <c r="I37" s="409"/>
      <c r="J37" s="346" t="str">
        <f>IFERROR(IF(J9="","",((J20-J17-J15-J13-J11-J9-J19)-((J20-J17-J15-J13-J11-J9-J19+J2)*J35))/J20),"")</f>
        <v/>
      </c>
      <c r="K37" s="409"/>
      <c r="L37" s="409"/>
      <c r="M37" s="346" t="str">
        <f>IFERROR(IF(M9="","",((M20-M17-M15-M13-M11-M9-M19)-((M20-M17-M15-M13-M11-M9-M19+M2)*M35))/M20),"")</f>
        <v/>
      </c>
      <c r="N37" s="409"/>
      <c r="O37" s="409"/>
      <c r="P37" s="346" t="str">
        <f>IFERROR(IF(P9="","",((P20-P17-P15-P13-P11-P9-P19)-((P20-P17-P15-P13-P11-P9-P19+P2)*P35))/P20),"")</f>
        <v/>
      </c>
    </row>
    <row r="38" spans="2:16" ht="24" customHeight="1" thickBot="1" x14ac:dyDescent="0.35">
      <c r="B38" s="397" t="s">
        <v>54</v>
      </c>
      <c r="C38" s="398"/>
      <c r="D38" s="410" t="str">
        <f>IFERROR((D37*D28),"")</f>
        <v/>
      </c>
      <c r="E38" s="406"/>
      <c r="F38" s="406"/>
      <c r="G38" s="410" t="str">
        <f>IFERROR((G37*G28),"")</f>
        <v/>
      </c>
      <c r="H38" s="406"/>
      <c r="I38" s="406"/>
      <c r="J38" s="410" t="str">
        <f>IFERROR((J37*J28),"")</f>
        <v/>
      </c>
      <c r="K38" s="406"/>
      <c r="L38" s="406"/>
      <c r="M38" s="410" t="str">
        <f>IFERROR((M37*M28),"")</f>
        <v/>
      </c>
      <c r="N38" s="406"/>
      <c r="O38" s="406"/>
      <c r="P38" s="410" t="str">
        <f>IFERROR((P37*P28),"")</f>
        <v/>
      </c>
    </row>
    <row r="39" spans="2:16" ht="15" thickBot="1" x14ac:dyDescent="0.35">
      <c r="D39" s="406"/>
      <c r="E39" s="406"/>
      <c r="F39" s="406"/>
      <c r="G39" s="406"/>
      <c r="H39" s="406"/>
      <c r="I39" s="406"/>
      <c r="J39" s="406"/>
      <c r="K39" s="406"/>
      <c r="L39" s="406"/>
      <c r="M39" s="406"/>
      <c r="N39" s="406"/>
      <c r="O39" s="406"/>
      <c r="P39" s="406"/>
    </row>
    <row r="40" spans="2:16" ht="19.5" customHeight="1" thickBot="1" x14ac:dyDescent="0.35">
      <c r="B40" s="427" t="s">
        <v>55</v>
      </c>
      <c r="C40" s="428"/>
      <c r="D40" s="400"/>
      <c r="E40" s="406"/>
      <c r="F40" s="406"/>
      <c r="G40" s="400"/>
      <c r="H40" s="406"/>
      <c r="I40" s="406"/>
      <c r="J40" s="400"/>
      <c r="K40" s="406"/>
      <c r="L40" s="406"/>
      <c r="M40" s="400"/>
      <c r="N40" s="406"/>
      <c r="O40" s="406"/>
      <c r="P40" s="400"/>
    </row>
    <row r="41" spans="2:16" ht="21.6" customHeight="1" thickBot="1" x14ac:dyDescent="0.35">
      <c r="B41" s="427" t="s">
        <v>56</v>
      </c>
      <c r="C41" s="428"/>
      <c r="D41" s="346" t="str">
        <f>IFERROR(IF(D9="","",((D20-D17-D15-D13-D11-D9-D19)-((D20-D17-D15-D13-D11-D9-D19+D2)*D35)-(D40*D20))/D20),"")</f>
        <v/>
      </c>
      <c r="E41" s="406"/>
      <c r="F41" s="406"/>
      <c r="G41" s="346" t="str">
        <f>IFERROR(IF(G9="","",((G20-G17-G15-G13-G11-G9-G19)-((G20-G17-G15-G13-G11-G9-G19+G2)*G35)-(G40*G20))/G20),"")</f>
        <v/>
      </c>
      <c r="H41" s="406"/>
      <c r="I41" s="406"/>
      <c r="J41" s="346" t="str">
        <f>IFERROR(IF(J9="","",((J20-J17-J15-J13-J11-J9-J19)-((J20-J17-J15-J13-J11-J9-J19+J2)*J35)-(J40*J20))/J20),"")</f>
        <v/>
      </c>
      <c r="K41" s="406"/>
      <c r="L41" s="406"/>
      <c r="M41" s="346" t="str">
        <f>IFERROR(IF(M9="","",((M20-M17-M15-M13-M11-M9-M19)-((M20-M17-M15-M13-M11-M9-M19+M2)*M35)-(M40*M20))/M20),"")</f>
        <v/>
      </c>
      <c r="N41" s="406"/>
      <c r="O41" s="406"/>
      <c r="P41" s="346" t="str">
        <f>IFERROR(IF(P9="","",((P20-P17-P15-P13-P11-P9-P19)-((P20-P17-P15-P13-P11-P9-P19+P2)*P35)-(P40*P20))/P20),"")</f>
        <v/>
      </c>
    </row>
    <row r="42" spans="2:16" ht="21.6" customHeight="1" thickBot="1" x14ac:dyDescent="0.35">
      <c r="B42" s="429" t="s">
        <v>57</v>
      </c>
      <c r="C42" s="430"/>
      <c r="D42" s="410">
        <f>IFERROR((D38-(D40*D20)),0)</f>
        <v>0</v>
      </c>
      <c r="E42" s="406"/>
      <c r="F42" s="406"/>
      <c r="G42" s="410">
        <f>IFERROR((G38-(G40*G20)),0)</f>
        <v>0</v>
      </c>
      <c r="H42" s="406"/>
      <c r="I42" s="406"/>
      <c r="J42" s="410">
        <f>IFERROR((J38-(J40*J20)),0)</f>
        <v>0</v>
      </c>
      <c r="K42" s="406"/>
      <c r="L42" s="406"/>
      <c r="M42" s="410">
        <f>IFERROR((M38-(M40*M20)),0)</f>
        <v>0</v>
      </c>
      <c r="N42" s="406"/>
      <c r="O42" s="406"/>
      <c r="P42" s="410">
        <f>IFERROR((P38-(P40*P20)),0)</f>
        <v>0</v>
      </c>
    </row>
  </sheetData>
  <sheetProtection sheet="1" objects="1" scenarios="1"/>
  <mergeCells count="14">
    <mergeCell ref="B42:C42"/>
    <mergeCell ref="B32:C32"/>
    <mergeCell ref="B33:C33"/>
    <mergeCell ref="B35:C35"/>
    <mergeCell ref="B40:C40"/>
    <mergeCell ref="B41:C41"/>
    <mergeCell ref="B28:C28"/>
    <mergeCell ref="A23:A24"/>
    <mergeCell ref="R23:R24"/>
    <mergeCell ref="R1:R9"/>
    <mergeCell ref="R10:R11"/>
    <mergeCell ref="R12:R20"/>
    <mergeCell ref="R21:R22"/>
    <mergeCell ref="B27:C2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Button 6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Button 7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Button 8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Button 9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Button 10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3" name="Button 11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4" name="Button 12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5" name="Button 13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6" name="Button 14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7" name="Button 15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8" name="Button 16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9" name="Button 17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0" name="Button 18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1" name="Button 19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2" name="Button 20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3" name="Button 21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4" name="Button 22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5" name="Button 23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26" name="Button 24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7" name="Button 25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8" name="Button 26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9" name="Button 27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30" name="Button 28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31" name="Button 29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32" name="Button 30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33" name="Button 31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34" name="Button 32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35" name="Button 33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36" name="Button 34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7" name="Button 35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8" name="Button 36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9" name="Button 37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40" name="Button 38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41" name="Button 39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42" name="Button 40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43" name="Button 41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44" name="Button 42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45" name="Button 43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46" name="Button 44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7" name="Button 45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8" name="Button 46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9" name="Button 47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50" name="Button 48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>
    <tabColor rgb="FFFF0000"/>
  </sheetPr>
  <dimension ref="A1:T43"/>
  <sheetViews>
    <sheetView topLeftCell="A8" zoomScale="70" zoomScaleNormal="70" workbookViewId="0">
      <selection activeCell="S27" sqref="S27"/>
    </sheetView>
  </sheetViews>
  <sheetFormatPr defaultColWidth="9.109375" defaultRowHeight="18" customHeight="1" x14ac:dyDescent="0.3"/>
  <cols>
    <col min="1" max="1" width="39.109375" style="285" customWidth="1"/>
    <col min="2" max="2" width="39.33203125" style="285" customWidth="1"/>
    <col min="3" max="3" width="3.6640625" style="285" customWidth="1"/>
    <col min="4" max="4" width="15.5546875" style="285" customWidth="1"/>
    <col min="5" max="6" width="3.6640625" style="285" customWidth="1"/>
    <col min="7" max="7" width="15.5546875" style="285" customWidth="1"/>
    <col min="8" max="9" width="3.6640625" style="285" customWidth="1"/>
    <col min="10" max="10" width="15.5546875" style="285" customWidth="1"/>
    <col min="11" max="12" width="3.6640625" style="285" customWidth="1"/>
    <col min="13" max="13" width="15.5546875" style="285" customWidth="1"/>
    <col min="14" max="15" width="3.6640625" style="285" customWidth="1"/>
    <col min="16" max="16" width="15.5546875" style="285" customWidth="1"/>
    <col min="17" max="17" width="3.6640625" style="285" customWidth="1"/>
    <col min="18" max="18" width="10" style="285" bestFit="1" customWidth="1"/>
    <col min="19" max="19" width="9.109375" style="285"/>
    <col min="20" max="20" width="9.33203125" style="285" bestFit="1" customWidth="1"/>
    <col min="21" max="16384" width="9.109375" style="285"/>
  </cols>
  <sheetData>
    <row r="1" spans="1:20" s="287" customFormat="1" ht="18" customHeight="1" x14ac:dyDescent="0.3">
      <c r="A1" s="368" t="s">
        <v>68</v>
      </c>
      <c r="B1" s="17"/>
      <c r="C1" s="10"/>
      <c r="D1" s="11">
        <f>D4+D3</f>
        <v>0</v>
      </c>
      <c r="E1" s="11"/>
      <c r="F1" s="10"/>
      <c r="G1" s="11">
        <f>G4+G3</f>
        <v>0</v>
      </c>
      <c r="H1" s="11"/>
      <c r="I1" s="10"/>
      <c r="J1" s="11">
        <f>J4+J3</f>
        <v>0</v>
      </c>
      <c r="K1" s="11"/>
      <c r="L1" s="10"/>
      <c r="M1" s="11">
        <f>M4+M3</f>
        <v>0</v>
      </c>
      <c r="N1" s="11"/>
      <c r="O1" s="10"/>
      <c r="P1" s="11">
        <f>P4+P3</f>
        <v>0</v>
      </c>
      <c r="Q1" s="11"/>
      <c r="R1" s="423" t="s">
        <v>69</v>
      </c>
    </row>
    <row r="2" spans="1:20" ht="18" hidden="1" customHeight="1" x14ac:dyDescent="0.3">
      <c r="A2" s="2"/>
      <c r="B2" s="17"/>
      <c r="C2" s="10"/>
      <c r="D2" s="283"/>
      <c r="E2" s="283"/>
      <c r="F2" s="75"/>
      <c r="G2" s="283"/>
      <c r="H2" s="283"/>
      <c r="I2" s="75"/>
      <c r="J2" s="283"/>
      <c r="K2" s="283"/>
      <c r="L2" s="75"/>
      <c r="M2" s="283"/>
      <c r="N2" s="283"/>
      <c r="O2" s="75"/>
      <c r="P2" s="283"/>
      <c r="Q2" s="283"/>
      <c r="R2" s="423"/>
    </row>
    <row r="3" spans="1:20" ht="18" customHeight="1" x14ac:dyDescent="0.3">
      <c r="A3" s="366" t="s">
        <v>70</v>
      </c>
      <c r="B3" s="16" t="s">
        <v>71</v>
      </c>
      <c r="C3" s="9"/>
      <c r="D3" s="364">
        <v>0</v>
      </c>
      <c r="E3" s="364"/>
      <c r="F3" s="365"/>
      <c r="G3" s="364">
        <v>0</v>
      </c>
      <c r="H3" s="364"/>
      <c r="I3" s="365"/>
      <c r="J3" s="364">
        <v>0</v>
      </c>
      <c r="K3" s="364"/>
      <c r="L3" s="365"/>
      <c r="M3" s="364">
        <v>0</v>
      </c>
      <c r="N3" s="364"/>
      <c r="O3" s="365"/>
      <c r="P3" s="364">
        <v>0</v>
      </c>
      <c r="Q3" s="284"/>
      <c r="R3" s="423"/>
    </row>
    <row r="4" spans="1:20" ht="18" customHeight="1" x14ac:dyDescent="0.3">
      <c r="A4" s="367" t="s">
        <v>72</v>
      </c>
      <c r="B4" s="17" t="s">
        <v>73</v>
      </c>
      <c r="C4" s="14"/>
      <c r="D4" s="110"/>
      <c r="E4" s="78"/>
      <c r="F4" s="79"/>
      <c r="G4" s="110"/>
      <c r="H4" s="78"/>
      <c r="I4" s="79"/>
      <c r="J4" s="110"/>
      <c r="K4" s="78"/>
      <c r="L4" s="79"/>
      <c r="M4" s="110"/>
      <c r="N4" s="78"/>
      <c r="O4" s="79"/>
      <c r="P4" s="110"/>
      <c r="Q4" s="78"/>
      <c r="R4" s="423"/>
    </row>
    <row r="5" spans="1:20" ht="18" customHeight="1" x14ac:dyDescent="0.3">
      <c r="A5" s="6" t="s">
        <v>74</v>
      </c>
      <c r="B5" s="16" t="s">
        <v>21</v>
      </c>
      <c r="C5" s="18"/>
      <c r="D5" s="76">
        <v>9.2499999999999999E-2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77"/>
      <c r="R5" s="423"/>
    </row>
    <row r="6" spans="1:20" ht="18" customHeight="1" x14ac:dyDescent="0.3">
      <c r="A6" s="2" t="s">
        <v>22</v>
      </c>
      <c r="B6" s="17"/>
      <c r="C6" s="10"/>
      <c r="D6" s="11">
        <f>(D4*D5)+(D1-D4)*D5</f>
        <v>0</v>
      </c>
      <c r="E6" s="11"/>
      <c r="F6" s="10"/>
      <c r="G6" s="11">
        <f>(G4*G5)+(G1-G4)*G5</f>
        <v>0</v>
      </c>
      <c r="H6" s="11"/>
      <c r="I6" s="10"/>
      <c r="J6" s="11">
        <f>(J4*J5)+(J1-J4)*J5</f>
        <v>0</v>
      </c>
      <c r="K6" s="11"/>
      <c r="L6" s="10"/>
      <c r="M6" s="11">
        <f>(M4*M5)+(M1-M4)*M5</f>
        <v>0</v>
      </c>
      <c r="N6" s="11"/>
      <c r="O6" s="10"/>
      <c r="P6" s="11">
        <f>(P4*P5)+(P1-P4)*P5</f>
        <v>0</v>
      </c>
      <c r="Q6" s="11"/>
      <c r="R6" s="423"/>
    </row>
    <row r="7" spans="1:20" s="288" customFormat="1" ht="18" customHeight="1" x14ac:dyDescent="0.3">
      <c r="A7" s="6" t="s">
        <v>75</v>
      </c>
      <c r="B7" s="16" t="s">
        <v>24</v>
      </c>
      <c r="C7" s="18"/>
      <c r="D7" s="76">
        <v>0.04</v>
      </c>
      <c r="E7" s="77"/>
      <c r="F7" s="74"/>
      <c r="G7" s="76">
        <v>0.04</v>
      </c>
      <c r="H7" s="77"/>
      <c r="I7" s="74"/>
      <c r="J7" s="76">
        <v>0.04</v>
      </c>
      <c r="K7" s="77"/>
      <c r="L7" s="74"/>
      <c r="M7" s="76">
        <v>0.04</v>
      </c>
      <c r="N7" s="77"/>
      <c r="O7" s="74"/>
      <c r="P7" s="76">
        <v>0.04</v>
      </c>
      <c r="Q7" s="77"/>
      <c r="R7" s="423"/>
    </row>
    <row r="8" spans="1:20" ht="18" customHeight="1" x14ac:dyDescent="0.3">
      <c r="A8" s="2" t="s">
        <v>25</v>
      </c>
      <c r="B8" s="17"/>
      <c r="C8" s="10"/>
      <c r="D8" s="272">
        <f>IF($B$25="Sim",(D4*D7),IF($B$25="Não",((D4*D7)+(D1-D4)*D7)-((D1-D4)*D2),""))</f>
        <v>0</v>
      </c>
      <c r="E8" s="272"/>
      <c r="F8" s="273"/>
      <c r="G8" s="272">
        <f>IF($B$25="sim",(G4*G7),IF($B$25="não",((G4*G7)+(G1-G4)*G7)-((G1-G4)*G2),""))</f>
        <v>0</v>
      </c>
      <c r="H8" s="272"/>
      <c r="I8" s="273"/>
      <c r="J8" s="272">
        <f>IF($B$25="sim",(J4*J7),IF($B$25="não",((J4*J7)+(J1-J4)*J7)-((J1-J4)*J2),""))</f>
        <v>0</v>
      </c>
      <c r="K8" s="272"/>
      <c r="L8" s="273"/>
      <c r="M8" s="272">
        <f>IF($B$25="sim",(M4*M7),IF($B$25="não",((M4*M7)+(M1-M4)*M7)-((M1-M4)*M2),""))</f>
        <v>0</v>
      </c>
      <c r="N8" s="272"/>
      <c r="O8" s="273"/>
      <c r="P8" s="272">
        <f>IF($B$25="sim",(P4*P7),IF($B$25="não",((P4*P7)+(P1-P4)*P7)-((P1-P4)*P2),""))</f>
        <v>0</v>
      </c>
      <c r="Q8" s="272"/>
      <c r="R8" s="423"/>
    </row>
    <row r="9" spans="1:20" ht="18" customHeight="1" x14ac:dyDescent="0.3">
      <c r="A9" s="6" t="s">
        <v>76</v>
      </c>
      <c r="B9" s="16"/>
      <c r="C9" s="40"/>
      <c r="D9" s="290">
        <f>D1-D6-D8</f>
        <v>0</v>
      </c>
      <c r="E9" s="291"/>
      <c r="F9" s="292"/>
      <c r="G9" s="290">
        <f>G1-G6-G8</f>
        <v>0</v>
      </c>
      <c r="H9" s="291"/>
      <c r="I9" s="292"/>
      <c r="J9" s="290">
        <f>J1-J6-J8</f>
        <v>0</v>
      </c>
      <c r="K9" s="291"/>
      <c r="L9" s="292"/>
      <c r="M9" s="290">
        <f>M1-M6-M8</f>
        <v>0</v>
      </c>
      <c r="N9" s="291"/>
      <c r="O9" s="292"/>
      <c r="P9" s="290">
        <f>P1-P6-P8</f>
        <v>0</v>
      </c>
      <c r="Q9" s="291"/>
      <c r="R9" s="423"/>
      <c r="T9" s="289"/>
    </row>
    <row r="10" spans="1:20" ht="18" customHeight="1" x14ac:dyDescent="0.3">
      <c r="A10" s="20" t="s">
        <v>77</v>
      </c>
      <c r="B10" s="21" t="s">
        <v>78</v>
      </c>
      <c r="C10" s="41"/>
      <c r="D10" s="280">
        <v>0.1</v>
      </c>
      <c r="E10" s="281"/>
      <c r="F10" s="282"/>
      <c r="G10" s="280">
        <v>0.1</v>
      </c>
      <c r="H10" s="281"/>
      <c r="I10" s="282"/>
      <c r="J10" s="280">
        <v>0.1</v>
      </c>
      <c r="K10" s="281"/>
      <c r="L10" s="282"/>
      <c r="M10" s="280">
        <v>0.1</v>
      </c>
      <c r="N10" s="281"/>
      <c r="O10" s="282"/>
      <c r="P10" s="280">
        <v>0.1</v>
      </c>
      <c r="Q10" s="281"/>
      <c r="R10" s="433" t="s">
        <v>13</v>
      </c>
    </row>
    <row r="11" spans="1:20" ht="18" customHeight="1" x14ac:dyDescent="0.3">
      <c r="A11" s="5" t="s">
        <v>28</v>
      </c>
      <c r="B11" s="22"/>
      <c r="C11" s="1"/>
      <c r="D11" s="1">
        <f>D20*D10</f>
        <v>0</v>
      </c>
      <c r="E11" s="1"/>
      <c r="F11" s="1"/>
      <c r="G11" s="1">
        <f>G20*G10</f>
        <v>0</v>
      </c>
      <c r="H11" s="1"/>
      <c r="I11" s="1"/>
      <c r="J11" s="1">
        <f>J20*J10</f>
        <v>0</v>
      </c>
      <c r="K11" s="1"/>
      <c r="L11" s="1"/>
      <c r="M11" s="1">
        <f>M20*M10</f>
        <v>0</v>
      </c>
      <c r="N11" s="1"/>
      <c r="O11" s="1"/>
      <c r="P11" s="1">
        <f>P20*P10</f>
        <v>0</v>
      </c>
      <c r="Q11" s="1"/>
      <c r="R11" s="433"/>
    </row>
    <row r="12" spans="1:20" ht="18" customHeight="1" x14ac:dyDescent="0.3">
      <c r="A12" s="3" t="s">
        <v>79</v>
      </c>
      <c r="B12" s="23" t="s">
        <v>80</v>
      </c>
      <c r="C12" s="38"/>
      <c r="D12" s="277">
        <v>0.04</v>
      </c>
      <c r="E12" s="278"/>
      <c r="F12" s="87"/>
      <c r="G12" s="85">
        <v>0.04</v>
      </c>
      <c r="H12" s="278"/>
      <c r="I12" s="87"/>
      <c r="J12" s="279">
        <v>0.04</v>
      </c>
      <c r="K12" s="278"/>
      <c r="L12" s="87"/>
      <c r="M12" s="279">
        <v>0.04</v>
      </c>
      <c r="N12" s="278"/>
      <c r="O12" s="87"/>
      <c r="P12" s="279">
        <v>0.04</v>
      </c>
      <c r="Q12" s="278"/>
      <c r="R12" s="425" t="s">
        <v>31</v>
      </c>
    </row>
    <row r="13" spans="1:20" ht="18" customHeight="1" x14ac:dyDescent="0.3">
      <c r="A13" s="4" t="s">
        <v>81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18" customHeight="1" x14ac:dyDescent="0.3">
      <c r="A14" s="3" t="s">
        <v>82</v>
      </c>
      <c r="B14" s="23" t="s">
        <v>83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86"/>
      <c r="R14" s="425"/>
    </row>
    <row r="15" spans="1:20" ht="18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18" customHeight="1" x14ac:dyDescent="0.3">
      <c r="A16" s="3" t="s">
        <v>84</v>
      </c>
      <c r="B16" s="23" t="s">
        <v>85</v>
      </c>
      <c r="C16" s="38"/>
      <c r="D16" s="85"/>
      <c r="E16" s="86"/>
      <c r="F16" s="87"/>
      <c r="G16" s="85"/>
      <c r="H16" s="86"/>
      <c r="I16" s="87"/>
      <c r="J16" s="85"/>
      <c r="K16" s="86"/>
      <c r="L16" s="87"/>
      <c r="M16" s="85"/>
      <c r="N16" s="86"/>
      <c r="O16" s="87"/>
      <c r="P16" s="85"/>
      <c r="Q16" s="39"/>
      <c r="R16" s="425"/>
    </row>
    <row r="17" spans="1:18" ht="18" customHeight="1" x14ac:dyDescent="0.3">
      <c r="A17" s="4" t="s">
        <v>86</v>
      </c>
      <c r="B17" s="26"/>
      <c r="C17" s="13"/>
      <c r="D17" s="13">
        <f>D20*D16</f>
        <v>0</v>
      </c>
      <c r="E17" s="13"/>
      <c r="F17" s="13"/>
      <c r="G17" s="13">
        <f>G20*G16</f>
        <v>0</v>
      </c>
      <c r="H17" s="13"/>
      <c r="I17" s="13"/>
      <c r="J17" s="13">
        <f>J20*J16</f>
        <v>0</v>
      </c>
      <c r="K17" s="13"/>
      <c r="L17" s="13"/>
      <c r="M17" s="13">
        <f>M20*M16</f>
        <v>0</v>
      </c>
      <c r="N17" s="13"/>
      <c r="O17" s="13"/>
      <c r="P17" s="13">
        <f>P20*P16</f>
        <v>0</v>
      </c>
      <c r="Q17" s="13"/>
      <c r="R17" s="425"/>
    </row>
    <row r="18" spans="1:18" ht="18" customHeight="1" x14ac:dyDescent="0.3">
      <c r="A18" s="3" t="s">
        <v>36</v>
      </c>
      <c r="B18" s="23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86"/>
      <c r="R18" s="425"/>
    </row>
    <row r="19" spans="1:18" ht="18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18" customHeight="1" thickBot="1" x14ac:dyDescent="0.35">
      <c r="A20" s="3" t="s">
        <v>39</v>
      </c>
      <c r="B20" s="23" t="s">
        <v>87</v>
      </c>
      <c r="C20" s="27"/>
      <c r="D20" s="274">
        <v>0</v>
      </c>
      <c r="E20" s="275"/>
      <c r="F20" s="276"/>
      <c r="G20" s="274"/>
      <c r="H20" s="275"/>
      <c r="I20" s="276"/>
      <c r="J20" s="274"/>
      <c r="K20" s="275"/>
      <c r="L20" s="276"/>
      <c r="M20" s="274"/>
      <c r="N20" s="275"/>
      <c r="O20" s="276"/>
      <c r="P20" s="274"/>
      <c r="Q20" s="275"/>
      <c r="R20" s="425"/>
    </row>
    <row r="21" spans="1:18" ht="18" customHeight="1" thickBot="1" x14ac:dyDescent="0.35">
      <c r="A21" s="7" t="s">
        <v>41</v>
      </c>
      <c r="B21" s="33"/>
      <c r="C21" s="29"/>
      <c r="D21" s="30" t="str">
        <f>IF(D4="","",(D20-D17-D15-D13-D11-D9-D19)/D4)</f>
        <v/>
      </c>
      <c r="E21" s="31"/>
      <c r="F21" s="29"/>
      <c r="G21" s="30" t="str">
        <f>IF(G4="","",(G20-G17-G15-G13-G11-G9-G19)/G4)</f>
        <v/>
      </c>
      <c r="H21" s="31"/>
      <c r="I21" s="29"/>
      <c r="J21" s="30" t="str">
        <f>IF(J4="","",(J20-J17-J15-J13-J11-J9-J19)/J4)</f>
        <v/>
      </c>
      <c r="K21" s="31"/>
      <c r="L21" s="29"/>
      <c r="M21" s="30" t="str">
        <f>IF(M4="","",(M20-M17-M15-M13-M11-M9-M19)/M4)</f>
        <v/>
      </c>
      <c r="N21" s="31"/>
      <c r="O21" s="29"/>
      <c r="P21" s="30" t="str">
        <f>IF(P4="","",(P20-P17-P15-P13-P11-P9-P19)/P4)</f>
        <v/>
      </c>
      <c r="Q21" s="31"/>
      <c r="R21" s="426" t="s">
        <v>42</v>
      </c>
    </row>
    <row r="22" spans="1:18" ht="18" customHeight="1" x14ac:dyDescent="0.3">
      <c r="A22" s="8" t="s">
        <v>43</v>
      </c>
      <c r="B22" s="24"/>
      <c r="C22" s="25"/>
      <c r="D22" s="34" t="str">
        <f>IF(D21="","",D20/D4-1)</f>
        <v/>
      </c>
      <c r="E22" s="34"/>
      <c r="F22" s="25"/>
      <c r="G22" s="34" t="str">
        <f>IF(G21="","",G20/G4-1)</f>
        <v/>
      </c>
      <c r="H22" s="34"/>
      <c r="I22" s="25"/>
      <c r="J22" s="34" t="str">
        <f>IF(J21="","",J20/J4-1)</f>
        <v/>
      </c>
      <c r="K22" s="34"/>
      <c r="L22" s="25"/>
      <c r="M22" s="34" t="str">
        <f>IF(M21="","",M20/M4-1)</f>
        <v/>
      </c>
      <c r="N22" s="34"/>
      <c r="O22" s="25"/>
      <c r="P22" s="34" t="str">
        <f>IF(P21="","",P20/P4-1)</f>
        <v/>
      </c>
      <c r="Q22" s="34"/>
      <c r="R22" s="426"/>
    </row>
    <row r="23" spans="1:18" ht="18" customHeight="1" x14ac:dyDescent="0.3">
      <c r="A23" s="431" t="s">
        <v>44</v>
      </c>
      <c r="B23" s="35"/>
      <c r="C23" s="36"/>
      <c r="D23" s="91">
        <v>0</v>
      </c>
      <c r="E23" s="37"/>
      <c r="F23" s="36"/>
      <c r="G23" s="91">
        <v>0</v>
      </c>
      <c r="H23" s="37"/>
      <c r="I23" s="36"/>
      <c r="J23" s="91">
        <v>0</v>
      </c>
      <c r="K23" s="37"/>
      <c r="L23" s="36"/>
      <c r="M23" s="91">
        <v>0</v>
      </c>
      <c r="N23" s="37"/>
      <c r="O23" s="36"/>
      <c r="P23" s="91">
        <v>0</v>
      </c>
      <c r="Q23" s="37"/>
      <c r="R23" s="432" t="s">
        <v>45</v>
      </c>
    </row>
    <row r="24" spans="1:18" ht="18" customHeight="1" x14ac:dyDescent="0.3">
      <c r="A24" s="431"/>
      <c r="B24" s="3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432"/>
    </row>
    <row r="25" spans="1:18" ht="18" hidden="1" customHeight="1" thickTop="1" thickBot="1" x14ac:dyDescent="0.35">
      <c r="A25" s="42" t="s">
        <v>88</v>
      </c>
      <c r="B25" s="115" t="s">
        <v>89</v>
      </c>
    </row>
    <row r="26" spans="1:18" ht="18" customHeight="1" thickBot="1" x14ac:dyDescent="0.35">
      <c r="G26" s="286"/>
    </row>
    <row r="27" spans="1:18" ht="27.75" customHeight="1" thickBot="1" x14ac:dyDescent="0.35">
      <c r="B27" s="427" t="s">
        <v>46</v>
      </c>
      <c r="C27" s="428"/>
      <c r="D27" s="315"/>
      <c r="E27" s="411"/>
      <c r="F27" s="412"/>
      <c r="G27" s="315"/>
      <c r="H27" s="411"/>
      <c r="I27" s="412"/>
      <c r="J27" s="315"/>
      <c r="K27" s="411"/>
      <c r="L27" s="412"/>
      <c r="M27" s="315"/>
      <c r="N27" s="411"/>
      <c r="O27" s="412"/>
      <c r="P27" s="315"/>
    </row>
    <row r="28" spans="1:18" ht="31.5" customHeight="1" thickBot="1" x14ac:dyDescent="0.35">
      <c r="B28" s="427" t="s">
        <v>47</v>
      </c>
      <c r="C28" s="428"/>
      <c r="D28" s="315"/>
      <c r="E28" s="413"/>
      <c r="F28" s="412"/>
      <c r="G28" s="315"/>
      <c r="H28" s="411"/>
      <c r="I28" s="412"/>
      <c r="J28" s="315"/>
      <c r="K28" s="411"/>
      <c r="L28" s="412"/>
      <c r="M28" s="315"/>
      <c r="N28" s="411"/>
      <c r="O28" s="412"/>
      <c r="P28" s="315"/>
    </row>
    <row r="29" spans="1:18" ht="30.75" customHeight="1" thickBot="1" x14ac:dyDescent="0.35">
      <c r="B29" s="429" t="s">
        <v>48</v>
      </c>
      <c r="C29" s="430"/>
      <c r="D29" s="414">
        <f>IFERROR(D20*D28,"")</f>
        <v>0</v>
      </c>
      <c r="E29" s="411"/>
      <c r="F29" s="415"/>
      <c r="G29" s="414">
        <f>IFERROR(G20*G28,"")</f>
        <v>0</v>
      </c>
      <c r="H29" s="411"/>
      <c r="I29" s="415"/>
      <c r="J29" s="414">
        <f>IFERROR(J20*J28,"")</f>
        <v>0</v>
      </c>
      <c r="K29" s="411"/>
      <c r="L29" s="415"/>
      <c r="M29" s="414">
        <f>IFERROR(M20*M28,"")</f>
        <v>0</v>
      </c>
      <c r="N29" s="411"/>
      <c r="O29" s="415"/>
      <c r="P29" s="414">
        <f>IFERROR(P20*P28,"")</f>
        <v>0</v>
      </c>
    </row>
    <row r="30" spans="1:18" ht="8.4" customHeight="1" thickBot="1" x14ac:dyDescent="0.35"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8" ht="33" customHeight="1" thickBot="1" x14ac:dyDescent="0.35">
      <c r="B31" s="314" t="s">
        <v>49</v>
      </c>
      <c r="C31" s="343"/>
      <c r="D31" s="407"/>
      <c r="E31" s="416"/>
      <c r="F31" s="416"/>
      <c r="G31" s="407"/>
      <c r="H31" s="416"/>
      <c r="I31" s="416"/>
      <c r="J31" s="407"/>
      <c r="K31" s="416"/>
      <c r="L31" s="416"/>
      <c r="M31" s="407"/>
      <c r="N31" s="416"/>
      <c r="O31" s="416"/>
      <c r="P31" s="407"/>
    </row>
    <row r="32" spans="1:18" ht="11.1" customHeight="1" thickBot="1" x14ac:dyDescent="0.35"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2:16" ht="18" customHeight="1" thickBot="1" x14ac:dyDescent="0.35">
      <c r="B33" s="427" t="s">
        <v>50</v>
      </c>
      <c r="C33" s="428"/>
      <c r="D33" s="419">
        <f>IFERROR(D9+D11,"")</f>
        <v>0</v>
      </c>
      <c r="E33" s="416"/>
      <c r="F33" s="416"/>
      <c r="G33" s="419">
        <f>IFERROR(G9+G11,"")</f>
        <v>0</v>
      </c>
      <c r="H33" s="416"/>
      <c r="I33" s="416"/>
      <c r="J33" s="419">
        <f>IFERROR(J9+J11,"")</f>
        <v>0</v>
      </c>
      <c r="K33" s="416"/>
      <c r="L33" s="416"/>
      <c r="M33" s="419">
        <f>IFERROR(M9+M11,"")</f>
        <v>0</v>
      </c>
      <c r="N33" s="416"/>
      <c r="O33" s="416"/>
      <c r="P33" s="419">
        <f>IFERROR(P9+P11,"")</f>
        <v>0</v>
      </c>
    </row>
    <row r="34" spans="2:16" ht="18" customHeight="1" thickBot="1" x14ac:dyDescent="0.35">
      <c r="B34" s="427" t="s">
        <v>51</v>
      </c>
      <c r="C34" s="428"/>
      <c r="D34" s="420">
        <f>IFERROR(D13+D15+D17+D19,"")</f>
        <v>0</v>
      </c>
      <c r="E34" s="416"/>
      <c r="F34" s="416"/>
      <c r="G34" s="420">
        <f>IFERROR(G13+G15+G17+G19,"")</f>
        <v>0</v>
      </c>
      <c r="H34" s="416"/>
      <c r="I34" s="416"/>
      <c r="J34" s="420">
        <f>IFERROR(J13+J15+J17+J19,"")</f>
        <v>0</v>
      </c>
      <c r="K34" s="416"/>
      <c r="L34" s="416"/>
      <c r="M34" s="420">
        <f>IFERROR(M13+M15+M17+M19,"")</f>
        <v>0</v>
      </c>
      <c r="N34" s="416"/>
      <c r="O34" s="416"/>
      <c r="P34" s="420">
        <f>IFERROR(P13+P15+P17+P19,"")</f>
        <v>0</v>
      </c>
    </row>
    <row r="35" spans="2:16" ht="7.5" customHeight="1" thickBot="1" x14ac:dyDescent="0.35"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2:16" ht="18" customHeight="1" thickBot="1" x14ac:dyDescent="0.35">
      <c r="B36" s="427" t="s">
        <v>52</v>
      </c>
      <c r="C36" s="428"/>
      <c r="D36" s="400"/>
      <c r="E36" s="416"/>
      <c r="F36" s="416"/>
      <c r="G36" s="400"/>
      <c r="H36" s="416"/>
      <c r="I36" s="416"/>
      <c r="J36" s="400"/>
      <c r="K36" s="416"/>
      <c r="L36" s="416"/>
      <c r="M36" s="400"/>
      <c r="N36" s="416"/>
      <c r="O36" s="416"/>
      <c r="P36" s="400"/>
    </row>
    <row r="37" spans="2:16" ht="9.6" customHeight="1" thickBot="1" x14ac:dyDescent="0.35"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2:16" ht="33.75" customHeight="1" thickBot="1" x14ac:dyDescent="0.35">
      <c r="B38" s="314" t="s">
        <v>53</v>
      </c>
      <c r="C38" s="343"/>
      <c r="D38" s="346" t="str">
        <f>IFERROR(IF(D9="","",((D20-D17-D15-D13-D11-D9-D19)-((D20-D17-D15-D13-D11-D9-D19)*D36))/D20),"")</f>
        <v/>
      </c>
      <c r="E38" s="417"/>
      <c r="F38" s="417"/>
      <c r="G38" s="346" t="str">
        <f>IFERROR(IF(G9="","",((G20-G17-G15-G13-G11-G9-G19)-((G20-G17-G15-G13-G11-G9-G19)*G36))/G20),"")</f>
        <v/>
      </c>
      <c r="H38" s="417"/>
      <c r="I38" s="417"/>
      <c r="J38" s="346" t="str">
        <f>IFERROR(IF(J9="","",((J20-J17-J15-J13-J11-J9-J19)-((J20-J17-J15-J13-J11-J9-J19)*J36))/J20),"")</f>
        <v/>
      </c>
      <c r="K38" s="417"/>
      <c r="L38" s="417"/>
      <c r="M38" s="346" t="str">
        <f>IFERROR(IF(M9="","",((M20-M17-M15-M13-M11-M9-M19)-((M20-M17-M15-M13-M11-M9-M19)*M36))/M20),"")</f>
        <v/>
      </c>
      <c r="N38" s="417"/>
      <c r="O38" s="417"/>
      <c r="P38" s="346" t="str">
        <f>IFERROR(IF(P9="","",((P20-P17-P15-P13-P11-P9-P19)-((P20-P17-P15-P13-P11-P9-P19)*P36))/P20),"")</f>
        <v/>
      </c>
    </row>
    <row r="39" spans="2:16" ht="18" customHeight="1" thickBot="1" x14ac:dyDescent="0.35">
      <c r="B39" s="429" t="s">
        <v>54</v>
      </c>
      <c r="C39" s="430"/>
      <c r="D39" s="418">
        <f>IFERROR((D38*D29),0)</f>
        <v>0</v>
      </c>
      <c r="E39" s="416"/>
      <c r="F39" s="416"/>
      <c r="G39" s="418">
        <f>IFERROR((G38*G29),0)</f>
        <v>0</v>
      </c>
      <c r="H39" s="416"/>
      <c r="I39" s="416"/>
      <c r="J39" s="418">
        <f>IFERROR((J38*J29),0)</f>
        <v>0</v>
      </c>
      <c r="K39" s="416"/>
      <c r="L39" s="416"/>
      <c r="M39" s="418">
        <f>IFERROR((M38*M29),0)</f>
        <v>0</v>
      </c>
      <c r="N39" s="416"/>
      <c r="O39" s="416"/>
      <c r="P39" s="418">
        <f>IFERROR((P38*P29),0)</f>
        <v>0</v>
      </c>
    </row>
    <row r="40" spans="2:16" ht="20.100000000000001" customHeight="1" thickBot="1" x14ac:dyDescent="0.35"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2:16" ht="18" customHeight="1" thickBot="1" x14ac:dyDescent="0.35">
      <c r="B41" s="427" t="s">
        <v>55</v>
      </c>
      <c r="C41" s="428"/>
      <c r="D41" s="399"/>
      <c r="E41" s="416"/>
      <c r="F41" s="416"/>
      <c r="G41" s="399"/>
      <c r="H41" s="416"/>
      <c r="I41" s="416"/>
      <c r="J41" s="399"/>
      <c r="K41" s="416"/>
      <c r="L41" s="416"/>
      <c r="M41" s="399"/>
      <c r="N41" s="416"/>
      <c r="O41" s="416"/>
      <c r="P41" s="399"/>
    </row>
    <row r="42" spans="2:16" ht="18" customHeight="1" thickBot="1" x14ac:dyDescent="0.35">
      <c r="B42" s="427" t="s">
        <v>56</v>
      </c>
      <c r="C42" s="428"/>
      <c r="D42" s="346" t="str">
        <f>IFERROR(IF(D9="","",((D20-D17-D15-D13-D11-D9-D19)-((D20-D17-D15-D13-D11-D9-D19)*D36)-(D41*D20))/D20),"")</f>
        <v/>
      </c>
      <c r="E42" s="416"/>
      <c r="F42" s="416"/>
      <c r="G42" s="346" t="str">
        <f>IFERROR(IF(G9="","",((G20-G17-G15-G13-G11-G9-G19)-((G20-G17-G15-G13-G11-G9-G19)*G36)-(G41*G20))/G20),"")</f>
        <v/>
      </c>
      <c r="H42" s="416"/>
      <c r="I42" s="416"/>
      <c r="J42" s="346" t="str">
        <f>IFERROR(IF(J9="","",((J20-J17-J15-J13-J11-J9-J19)-((J20-J17-J15-J13-J11-J9-J19)*J36)-(J41*J20))/J20),"")</f>
        <v/>
      </c>
      <c r="K42" s="416"/>
      <c r="L42" s="416"/>
      <c r="M42" s="346" t="str">
        <f>IFERROR(IF(M9="","",((M20-M17-M15-M13-M11-M9-M19)-((M20-M17-M15-M13-M11-M9-M19)*M36)-(M41*M20))/M20),"")</f>
        <v/>
      </c>
      <c r="N42" s="416"/>
      <c r="O42" s="416"/>
      <c r="P42" s="346" t="str">
        <f>IFERROR(IF(P9="","",((P20-P17-P15-P13-P11-P9-P19)-((P20-P17-P15-P13-P11-P9-P19)*P36)-(P41*P20))/P20),"")</f>
        <v/>
      </c>
    </row>
    <row r="43" spans="2:16" ht="18" customHeight="1" thickBot="1" x14ac:dyDescent="0.35">
      <c r="B43" s="429" t="s">
        <v>57</v>
      </c>
      <c r="C43" s="430"/>
      <c r="D43" s="418">
        <f>IFERROR(D39-(D41*D29),0)</f>
        <v>0</v>
      </c>
      <c r="E43" s="416"/>
      <c r="F43" s="416"/>
      <c r="G43" s="418">
        <f>IFERROR(G39-(G41*G29),0)</f>
        <v>0</v>
      </c>
      <c r="H43" s="416"/>
      <c r="I43" s="416"/>
      <c r="J43" s="418">
        <f>IFERROR(J39-(J41*J29),0)</f>
        <v>0</v>
      </c>
      <c r="K43" s="416"/>
      <c r="L43" s="416"/>
      <c r="M43" s="418">
        <f>IFERROR(M39-(M41*M29),0)</f>
        <v>0</v>
      </c>
      <c r="N43" s="416"/>
      <c r="O43" s="416"/>
      <c r="P43" s="418">
        <f>IFERROR(P39-(P41*P29),0)</f>
        <v>0</v>
      </c>
    </row>
  </sheetData>
  <sheetProtection sheet="1" objects="1" scenarios="1"/>
  <mergeCells count="16">
    <mergeCell ref="B28:C28"/>
    <mergeCell ref="B29:C29"/>
    <mergeCell ref="A23:A24"/>
    <mergeCell ref="R10:R11"/>
    <mergeCell ref="R1:R9"/>
    <mergeCell ref="R12:R20"/>
    <mergeCell ref="R21:R22"/>
    <mergeCell ref="R23:R24"/>
    <mergeCell ref="B27:C27"/>
    <mergeCell ref="B43:C43"/>
    <mergeCell ref="B39:C39"/>
    <mergeCell ref="B33:C33"/>
    <mergeCell ref="B34:C34"/>
    <mergeCell ref="B36:C36"/>
    <mergeCell ref="B41:C41"/>
    <mergeCell ref="B42:C42"/>
  </mergeCells>
  <dataValidations count="1">
    <dataValidation type="list" allowBlank="1" showInputMessage="1" showErrorMessage="1" sqref="B25" xr:uid="{00000000-0002-0000-0600-000000000000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D33:D34 G33:G34 J33:J34 M33:M34 P33:P3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9" r:id="rId3" name="Button 1065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4" name="Button 1066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5" name="Button 1068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6" name="Button 1069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7" name="Button 1071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8" name="Button 1072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9" name="Button 1073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10" name="Button 1074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11" name="Button 1075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12" name="Button 1077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13" name="Button 1078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14" name="Button 1080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15" name="Button 1081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16" name="Button 1083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17" name="Button 1084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18" name="Button 1085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19" name="Button 1086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0" name="Button 1087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21" name="Button 1089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22" name="Button 1090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23" name="Button 1092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24" name="Button 1093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25" name="Button 1095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26" name="Button 1096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27" name="Button 1097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28" name="Button 1098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29" name="Button 1099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30" name="Button 1101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31" name="Button 1102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32" name="Button 1104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33" name="Button 1105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34" name="Button 1107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35" name="Button 1108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36" name="Button 1109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37" name="Button 1110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38" name="Button 1111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39" name="Button 1026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0" name="Button 1030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41" name="Button 1035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42" name="Button 1040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43" name="Button 1041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44" name="Button 1042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45" name="Button 1043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46" name="Button 1044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47" name="Button 1045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48" name="Button 1046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49" name="Button 1047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50" name="Button 1048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>
    <tabColor rgb="FFFF0000"/>
  </sheetPr>
  <dimension ref="A1:T43"/>
  <sheetViews>
    <sheetView zoomScale="70" zoomScaleNormal="70" workbookViewId="0">
      <selection activeCell="M23" sqref="M23"/>
    </sheetView>
  </sheetViews>
  <sheetFormatPr defaultColWidth="9.109375" defaultRowHeight="18" customHeight="1" x14ac:dyDescent="0.3"/>
  <cols>
    <col min="1" max="1" width="39.109375" style="285" customWidth="1"/>
    <col min="2" max="2" width="39.33203125" style="285" customWidth="1"/>
    <col min="3" max="3" width="3.6640625" style="285" customWidth="1"/>
    <col min="4" max="4" width="15.5546875" style="285" customWidth="1"/>
    <col min="5" max="6" width="3.6640625" style="285" customWidth="1"/>
    <col min="7" max="7" width="15.5546875" style="285" customWidth="1"/>
    <col min="8" max="9" width="3.6640625" style="285" customWidth="1"/>
    <col min="10" max="10" width="15.5546875" style="285" customWidth="1"/>
    <col min="11" max="12" width="3.6640625" style="285" customWidth="1"/>
    <col min="13" max="13" width="15.5546875" style="285" customWidth="1"/>
    <col min="14" max="15" width="3.6640625" style="285" customWidth="1"/>
    <col min="16" max="16" width="15.5546875" style="285" customWidth="1"/>
    <col min="17" max="17" width="3.6640625" style="285" customWidth="1"/>
    <col min="18" max="18" width="10" style="285" bestFit="1" customWidth="1"/>
    <col min="19" max="19" width="9.109375" style="285"/>
    <col min="20" max="20" width="9.33203125" style="285" bestFit="1" customWidth="1"/>
    <col min="21" max="16384" width="9.109375" style="285"/>
  </cols>
  <sheetData>
    <row r="1" spans="1:20" s="287" customFormat="1" ht="18" customHeight="1" x14ac:dyDescent="0.3">
      <c r="A1" s="368" t="s">
        <v>90</v>
      </c>
      <c r="B1" s="17"/>
      <c r="C1" s="10"/>
      <c r="D1" s="11">
        <f>D4+D3</f>
        <v>0</v>
      </c>
      <c r="E1" s="11"/>
      <c r="F1" s="10"/>
      <c r="G1" s="11">
        <f>G4+G3</f>
        <v>0</v>
      </c>
      <c r="H1" s="11"/>
      <c r="I1" s="10"/>
      <c r="J1" s="11">
        <f>J4+J3</f>
        <v>0</v>
      </c>
      <c r="K1" s="11"/>
      <c r="L1" s="10"/>
      <c r="M1" s="11">
        <f>M4+M3</f>
        <v>0</v>
      </c>
      <c r="N1" s="11"/>
      <c r="O1" s="10"/>
      <c r="P1" s="11">
        <f>P4+P3</f>
        <v>0</v>
      </c>
      <c r="Q1" s="11"/>
      <c r="R1" s="423" t="s">
        <v>69</v>
      </c>
    </row>
    <row r="2" spans="1:20" ht="18" hidden="1" customHeight="1" x14ac:dyDescent="0.3">
      <c r="A2" s="2"/>
      <c r="B2" s="17"/>
      <c r="C2" s="10"/>
      <c r="D2" s="283">
        <v>0</v>
      </c>
      <c r="E2" s="283"/>
      <c r="F2" s="75"/>
      <c r="G2" s="283">
        <v>0</v>
      </c>
      <c r="H2" s="283"/>
      <c r="I2" s="75"/>
      <c r="J2" s="283">
        <v>0</v>
      </c>
      <c r="K2" s="283"/>
      <c r="L2" s="75"/>
      <c r="M2" s="283">
        <v>0</v>
      </c>
      <c r="N2" s="283"/>
      <c r="O2" s="75"/>
      <c r="P2" s="283">
        <v>0</v>
      </c>
      <c r="Q2" s="283"/>
      <c r="R2" s="423"/>
    </row>
    <row r="3" spans="1:20" ht="18" customHeight="1" x14ac:dyDescent="0.3">
      <c r="A3" s="6" t="s">
        <v>70</v>
      </c>
      <c r="B3" s="16" t="s">
        <v>71</v>
      </c>
      <c r="C3" s="9"/>
      <c r="D3" s="369"/>
      <c r="E3" s="369"/>
      <c r="F3" s="370"/>
      <c r="G3" s="369">
        <v>0</v>
      </c>
      <c r="H3" s="369"/>
      <c r="I3" s="370"/>
      <c r="J3" s="369">
        <v>0</v>
      </c>
      <c r="K3" s="369"/>
      <c r="L3" s="370"/>
      <c r="M3" s="369">
        <v>0</v>
      </c>
      <c r="N3" s="369"/>
      <c r="O3" s="370"/>
      <c r="P3" s="369">
        <v>0</v>
      </c>
      <c r="Q3" s="284"/>
      <c r="R3" s="423"/>
    </row>
    <row r="4" spans="1:20" ht="18" customHeight="1" x14ac:dyDescent="0.3">
      <c r="A4" s="2" t="s">
        <v>72</v>
      </c>
      <c r="B4" s="17" t="s">
        <v>91</v>
      </c>
      <c r="C4" s="14"/>
      <c r="D4" s="110"/>
      <c r="E4" s="78"/>
      <c r="F4" s="79"/>
      <c r="G4" s="110"/>
      <c r="H4" s="78"/>
      <c r="I4" s="79"/>
      <c r="J4" s="110"/>
      <c r="K4" s="78"/>
      <c r="L4" s="79"/>
      <c r="M4" s="110"/>
      <c r="N4" s="78"/>
      <c r="O4" s="79"/>
      <c r="P4" s="110"/>
      <c r="Q4" s="78"/>
      <c r="R4" s="423"/>
    </row>
    <row r="5" spans="1:20" ht="18" customHeight="1" x14ac:dyDescent="0.3">
      <c r="A5" s="6" t="s">
        <v>74</v>
      </c>
      <c r="B5" s="16" t="s">
        <v>21</v>
      </c>
      <c r="C5" s="18"/>
      <c r="D5" s="76">
        <v>9.2499999999999999E-2</v>
      </c>
      <c r="E5" s="77"/>
      <c r="F5" s="74"/>
      <c r="G5" s="76">
        <v>9.2499999999999999E-2</v>
      </c>
      <c r="H5" s="77"/>
      <c r="I5" s="74"/>
      <c r="J5" s="76">
        <v>9.2499999999999999E-2</v>
      </c>
      <c r="K5" s="77"/>
      <c r="L5" s="74"/>
      <c r="M5" s="76">
        <v>9.2499999999999999E-2</v>
      </c>
      <c r="N5" s="77"/>
      <c r="O5" s="74"/>
      <c r="P5" s="76">
        <v>9.2499999999999999E-2</v>
      </c>
      <c r="Q5" s="77"/>
      <c r="R5" s="423"/>
    </row>
    <row r="6" spans="1:20" ht="18" customHeight="1" x14ac:dyDescent="0.3">
      <c r="A6" s="2" t="s">
        <v>22</v>
      </c>
      <c r="B6" s="17"/>
      <c r="C6" s="10"/>
      <c r="D6" s="11">
        <f>(D4*D5)+(D1-D4)*D5</f>
        <v>0</v>
      </c>
      <c r="E6" s="11"/>
      <c r="F6" s="10"/>
      <c r="G6" s="11">
        <f>(G4*G5)+(G1-G4)*G5</f>
        <v>0</v>
      </c>
      <c r="H6" s="11"/>
      <c r="I6" s="10"/>
      <c r="J6" s="11">
        <f>(J4*J5)+(J1-J4)*J5</f>
        <v>0</v>
      </c>
      <c r="K6" s="11"/>
      <c r="L6" s="10"/>
      <c r="M6" s="11">
        <f>(M4*M5)+(M1-M4)*M5</f>
        <v>0</v>
      </c>
      <c r="N6" s="11"/>
      <c r="O6" s="10"/>
      <c r="P6" s="11">
        <f>(P4*P5)+(P1-P4)*P5</f>
        <v>0</v>
      </c>
      <c r="Q6" s="11"/>
      <c r="R6" s="423"/>
    </row>
    <row r="7" spans="1:20" s="288" customFormat="1" ht="18" customHeight="1" x14ac:dyDescent="0.3">
      <c r="A7" s="6" t="s">
        <v>75</v>
      </c>
      <c r="B7" s="16" t="s">
        <v>24</v>
      </c>
      <c r="C7" s="18"/>
      <c r="D7" s="76">
        <v>0.04</v>
      </c>
      <c r="E7" s="77"/>
      <c r="F7" s="74"/>
      <c r="G7" s="76">
        <v>0.04</v>
      </c>
      <c r="H7" s="77"/>
      <c r="I7" s="74"/>
      <c r="J7" s="76">
        <v>0.04</v>
      </c>
      <c r="K7" s="77"/>
      <c r="L7" s="74"/>
      <c r="M7" s="76">
        <v>0.04</v>
      </c>
      <c r="N7" s="77"/>
      <c r="O7" s="74"/>
      <c r="P7" s="76">
        <v>0.04</v>
      </c>
      <c r="Q7" s="77"/>
      <c r="R7" s="423"/>
    </row>
    <row r="8" spans="1:20" ht="18" customHeight="1" x14ac:dyDescent="0.3">
      <c r="A8" s="2" t="s">
        <v>25</v>
      </c>
      <c r="B8" s="17"/>
      <c r="C8" s="10"/>
      <c r="D8" s="272">
        <f>IF($B$25="Sim",(D4*D7),IF($B$25="Não",((D4*D7)+(D1-D4)*D7)-((D1-D4)*D2),""))</f>
        <v>0</v>
      </c>
      <c r="E8" s="272"/>
      <c r="F8" s="273"/>
      <c r="G8" s="272">
        <f>IF($B$25="sim",(G4*G7),IF($B$25="não",((G4*G7)+(G1-G4)*G7)-((G1-G4)*G2),""))</f>
        <v>0</v>
      </c>
      <c r="H8" s="272"/>
      <c r="I8" s="273"/>
      <c r="J8" s="272">
        <f>IF($B$25="sim",(J4*J7),IF($B$25="não",((J4*J7)+(J1-J4)*J7)-((J1-J4)*J2),""))</f>
        <v>0</v>
      </c>
      <c r="K8" s="272"/>
      <c r="L8" s="273"/>
      <c r="M8" s="272">
        <f>IF($B$25="sim",(M4*M7),IF($B$25="não",((M4*M7)+(M1-M4)*M7)-((M1-M4)*M2),""))</f>
        <v>0</v>
      </c>
      <c r="N8" s="272"/>
      <c r="O8" s="273"/>
      <c r="P8" s="272">
        <f>IF($B$25="sim",(P4*P7),IF($B$25="não",((P4*P7)+(P1-P4)*P7)-((P1-P4)*P2),""))</f>
        <v>0</v>
      </c>
      <c r="Q8" s="272"/>
      <c r="R8" s="423"/>
    </row>
    <row r="9" spans="1:20" ht="18" customHeight="1" x14ac:dyDescent="0.3">
      <c r="A9" s="6" t="s">
        <v>76</v>
      </c>
      <c r="B9" s="16"/>
      <c r="C9" s="40"/>
      <c r="D9" s="290">
        <f>D1-D6-D8</f>
        <v>0</v>
      </c>
      <c r="E9" s="291"/>
      <c r="F9" s="292"/>
      <c r="G9" s="290">
        <f>G1-G6-G8</f>
        <v>0</v>
      </c>
      <c r="H9" s="291"/>
      <c r="I9" s="292"/>
      <c r="J9" s="290">
        <f>J1-J6-J8</f>
        <v>0</v>
      </c>
      <c r="K9" s="291"/>
      <c r="L9" s="292"/>
      <c r="M9" s="290">
        <f>M1-M6-M8</f>
        <v>0</v>
      </c>
      <c r="N9" s="291"/>
      <c r="O9" s="292"/>
      <c r="P9" s="290">
        <f>P1-P6-P8</f>
        <v>0</v>
      </c>
      <c r="Q9" s="291"/>
      <c r="R9" s="423"/>
      <c r="T9" s="289"/>
    </row>
    <row r="10" spans="1:20" ht="18" customHeight="1" x14ac:dyDescent="0.3">
      <c r="A10" s="20" t="s">
        <v>77</v>
      </c>
      <c r="B10" s="21" t="s">
        <v>78</v>
      </c>
      <c r="C10" s="41"/>
      <c r="D10" s="280">
        <v>0.1</v>
      </c>
      <c r="E10" s="281"/>
      <c r="F10" s="282"/>
      <c r="G10" s="280">
        <v>0.1</v>
      </c>
      <c r="H10" s="281"/>
      <c r="I10" s="282"/>
      <c r="J10" s="280">
        <v>0.1</v>
      </c>
      <c r="K10" s="281"/>
      <c r="L10" s="282"/>
      <c r="M10" s="280">
        <v>0.1</v>
      </c>
      <c r="N10" s="281"/>
      <c r="O10" s="282"/>
      <c r="P10" s="280">
        <v>0.1</v>
      </c>
      <c r="Q10" s="281"/>
      <c r="R10" s="433" t="s">
        <v>13</v>
      </c>
    </row>
    <row r="11" spans="1:20" ht="18" customHeight="1" x14ac:dyDescent="0.3">
      <c r="A11" s="5" t="s">
        <v>28</v>
      </c>
      <c r="B11" s="22"/>
      <c r="C11" s="1"/>
      <c r="D11" s="1">
        <f>D20*D10</f>
        <v>0</v>
      </c>
      <c r="E11" s="1"/>
      <c r="F11" s="1"/>
      <c r="G11" s="1">
        <f>G20*G10</f>
        <v>0</v>
      </c>
      <c r="H11" s="1"/>
      <c r="I11" s="1"/>
      <c r="J11" s="1">
        <f>J20*J10</f>
        <v>0</v>
      </c>
      <c r="K11" s="1"/>
      <c r="L11" s="1"/>
      <c r="M11" s="1">
        <f>M20*M10</f>
        <v>0</v>
      </c>
      <c r="N11" s="1"/>
      <c r="O11" s="1"/>
      <c r="P11" s="1">
        <f>P20*P10</f>
        <v>0</v>
      </c>
      <c r="Q11" s="1"/>
      <c r="R11" s="433"/>
    </row>
    <row r="12" spans="1:20" ht="18" customHeight="1" x14ac:dyDescent="0.3">
      <c r="A12" s="3" t="s">
        <v>79</v>
      </c>
      <c r="B12" s="23" t="s">
        <v>80</v>
      </c>
      <c r="C12" s="38"/>
      <c r="D12" s="277">
        <v>0.04</v>
      </c>
      <c r="E12" s="278"/>
      <c r="F12" s="87"/>
      <c r="G12" s="85">
        <v>0.04</v>
      </c>
      <c r="H12" s="278"/>
      <c r="I12" s="87"/>
      <c r="J12" s="279">
        <v>0.04</v>
      </c>
      <c r="K12" s="278"/>
      <c r="L12" s="87"/>
      <c r="M12" s="279">
        <v>0.04</v>
      </c>
      <c r="N12" s="278"/>
      <c r="O12" s="87"/>
      <c r="P12" s="279">
        <v>0.04</v>
      </c>
      <c r="Q12" s="278"/>
      <c r="R12" s="425" t="s">
        <v>31</v>
      </c>
    </row>
    <row r="13" spans="1:20" ht="18" customHeight="1" x14ac:dyDescent="0.3">
      <c r="A13" s="4" t="s">
        <v>81</v>
      </c>
      <c r="B13" s="26"/>
      <c r="C13" s="13"/>
      <c r="D13" s="13">
        <f>D20*D12</f>
        <v>0</v>
      </c>
      <c r="E13" s="13"/>
      <c r="F13" s="13"/>
      <c r="G13" s="13">
        <f>G20*G12</f>
        <v>0</v>
      </c>
      <c r="H13" s="13"/>
      <c r="I13" s="13"/>
      <c r="J13" s="13">
        <f>J20*J12</f>
        <v>0</v>
      </c>
      <c r="K13" s="13"/>
      <c r="L13" s="13"/>
      <c r="M13" s="13">
        <f>M20*M12</f>
        <v>0</v>
      </c>
      <c r="N13" s="13"/>
      <c r="O13" s="13"/>
      <c r="P13" s="13">
        <f>P20*P12</f>
        <v>0</v>
      </c>
      <c r="Q13" s="13"/>
      <c r="R13" s="425"/>
    </row>
    <row r="14" spans="1:20" ht="18" customHeight="1" x14ac:dyDescent="0.3">
      <c r="A14" s="3" t="s">
        <v>82</v>
      </c>
      <c r="B14" s="23" t="s">
        <v>83</v>
      </c>
      <c r="C14" s="38"/>
      <c r="D14" s="85">
        <v>9.2499999999999999E-2</v>
      </c>
      <c r="E14" s="86"/>
      <c r="F14" s="87"/>
      <c r="G14" s="85">
        <v>9.2499999999999999E-2</v>
      </c>
      <c r="H14" s="86"/>
      <c r="I14" s="87"/>
      <c r="J14" s="85">
        <v>9.2499999999999999E-2</v>
      </c>
      <c r="K14" s="86"/>
      <c r="L14" s="87"/>
      <c r="M14" s="85">
        <v>9.2499999999999999E-2</v>
      </c>
      <c r="N14" s="86"/>
      <c r="O14" s="87"/>
      <c r="P14" s="85">
        <v>9.2499999999999999E-2</v>
      </c>
      <c r="Q14" s="86"/>
      <c r="R14" s="425"/>
    </row>
    <row r="15" spans="1:20" ht="18" customHeight="1" x14ac:dyDescent="0.3">
      <c r="A15" s="4" t="s">
        <v>35</v>
      </c>
      <c r="B15" s="26"/>
      <c r="C15" s="13"/>
      <c r="D15" s="13">
        <f>D20*D14</f>
        <v>0</v>
      </c>
      <c r="E15" s="13"/>
      <c r="F15" s="13"/>
      <c r="G15" s="13">
        <f>G20*G14</f>
        <v>0</v>
      </c>
      <c r="H15" s="13"/>
      <c r="I15" s="13"/>
      <c r="J15" s="13">
        <f>J20*J14</f>
        <v>0</v>
      </c>
      <c r="K15" s="13"/>
      <c r="L15" s="13"/>
      <c r="M15" s="13">
        <f>M20*M14</f>
        <v>0</v>
      </c>
      <c r="N15" s="13"/>
      <c r="O15" s="13"/>
      <c r="P15" s="13">
        <f>P20*P14</f>
        <v>0</v>
      </c>
      <c r="Q15" s="13"/>
      <c r="R15" s="425"/>
    </row>
    <row r="16" spans="1:20" ht="18" customHeight="1" x14ac:dyDescent="0.3">
      <c r="A16" s="3" t="s">
        <v>84</v>
      </c>
      <c r="B16" s="23" t="s">
        <v>85</v>
      </c>
      <c r="C16" s="38"/>
      <c r="D16" s="85"/>
      <c r="E16" s="86"/>
      <c r="F16" s="87"/>
      <c r="G16" s="85"/>
      <c r="H16" s="86"/>
      <c r="I16" s="87"/>
      <c r="J16" s="85"/>
      <c r="K16" s="86"/>
      <c r="L16" s="87"/>
      <c r="M16" s="85"/>
      <c r="N16" s="86"/>
      <c r="O16" s="87"/>
      <c r="P16" s="85"/>
      <c r="Q16" s="39"/>
      <c r="R16" s="425"/>
    </row>
    <row r="17" spans="1:18" ht="18" customHeight="1" x14ac:dyDescent="0.3">
      <c r="A17" s="4" t="s">
        <v>86</v>
      </c>
      <c r="B17" s="26"/>
      <c r="C17" s="13"/>
      <c r="D17" s="13">
        <f>D20*D16</f>
        <v>0</v>
      </c>
      <c r="E17" s="13"/>
      <c r="F17" s="13"/>
      <c r="G17" s="13">
        <f>G20*G16</f>
        <v>0</v>
      </c>
      <c r="H17" s="13"/>
      <c r="I17" s="13"/>
      <c r="J17" s="13">
        <f>J20*J16</f>
        <v>0</v>
      </c>
      <c r="K17" s="13"/>
      <c r="L17" s="13"/>
      <c r="M17" s="13">
        <f>M20*M16</f>
        <v>0</v>
      </c>
      <c r="N17" s="13"/>
      <c r="O17" s="13"/>
      <c r="P17" s="13">
        <f>P20*P16</f>
        <v>0</v>
      </c>
      <c r="Q17" s="13"/>
      <c r="R17" s="425"/>
    </row>
    <row r="18" spans="1:18" ht="18" customHeight="1" x14ac:dyDescent="0.3">
      <c r="A18" s="3" t="s">
        <v>36</v>
      </c>
      <c r="B18" s="23" t="s">
        <v>37</v>
      </c>
      <c r="C18" s="38"/>
      <c r="D18" s="85">
        <v>0.24</v>
      </c>
      <c r="E18" s="86"/>
      <c r="F18" s="87"/>
      <c r="G18" s="85">
        <v>0.24</v>
      </c>
      <c r="H18" s="86"/>
      <c r="I18" s="87"/>
      <c r="J18" s="85">
        <v>0.24</v>
      </c>
      <c r="K18" s="86"/>
      <c r="L18" s="87"/>
      <c r="M18" s="85">
        <v>0.24</v>
      </c>
      <c r="N18" s="86"/>
      <c r="O18" s="87"/>
      <c r="P18" s="85">
        <v>0.24</v>
      </c>
      <c r="Q18" s="86"/>
      <c r="R18" s="425"/>
    </row>
    <row r="19" spans="1:18" ht="18" customHeight="1" thickBot="1" x14ac:dyDescent="0.35">
      <c r="A19" s="4" t="s">
        <v>38</v>
      </c>
      <c r="B19" s="26"/>
      <c r="C19" s="13"/>
      <c r="D19" s="13">
        <f>(D20-D17-D15-D13-D11-D9)*D18</f>
        <v>0</v>
      </c>
      <c r="E19" s="13"/>
      <c r="F19" s="13"/>
      <c r="G19" s="13">
        <f>(G20-G17-G15-G13-G11-G9)*G18</f>
        <v>0</v>
      </c>
      <c r="H19" s="13"/>
      <c r="I19" s="13"/>
      <c r="J19" s="13">
        <f>(J20-J17-J15-J13-J11-J9)*J18</f>
        <v>0</v>
      </c>
      <c r="K19" s="13"/>
      <c r="L19" s="13"/>
      <c r="M19" s="13">
        <f>(M20-M17-M15-M13-M11-M9)*M18</f>
        <v>0</v>
      </c>
      <c r="N19" s="13"/>
      <c r="O19" s="13"/>
      <c r="P19" s="13">
        <f>(P20-P17-P15-P13-P11-P9)*P18</f>
        <v>0</v>
      </c>
      <c r="Q19" s="13"/>
      <c r="R19" s="425"/>
    </row>
    <row r="20" spans="1:18" ht="18" customHeight="1" thickBot="1" x14ac:dyDescent="0.35">
      <c r="A20" s="3" t="s">
        <v>39</v>
      </c>
      <c r="B20" s="23" t="s">
        <v>87</v>
      </c>
      <c r="C20" s="27"/>
      <c r="D20" s="274">
        <v>0</v>
      </c>
      <c r="E20" s="275"/>
      <c r="F20" s="276"/>
      <c r="G20" s="274"/>
      <c r="H20" s="275"/>
      <c r="I20" s="276"/>
      <c r="J20" s="274"/>
      <c r="K20" s="275"/>
      <c r="L20" s="276"/>
      <c r="M20" s="274"/>
      <c r="N20" s="275"/>
      <c r="O20" s="276"/>
      <c r="P20" s="274"/>
      <c r="Q20" s="275"/>
      <c r="R20" s="425"/>
    </row>
    <row r="21" spans="1:18" ht="18" customHeight="1" thickBot="1" x14ac:dyDescent="0.35">
      <c r="A21" s="7" t="s">
        <v>41</v>
      </c>
      <c r="B21" s="33"/>
      <c r="C21" s="29"/>
      <c r="D21" s="30" t="str">
        <f>IF(D4="","",(D20-D17-D15-D13-D11-D9-D19)/D4)</f>
        <v/>
      </c>
      <c r="E21" s="31"/>
      <c r="F21" s="29"/>
      <c r="G21" s="30" t="str">
        <f>IF(G4="","",(G20-G17-G15-G13-G11-G9-G19)/G4)</f>
        <v/>
      </c>
      <c r="H21" s="31"/>
      <c r="I21" s="29"/>
      <c r="J21" s="30" t="str">
        <f>IF(J4="","",(J20-J17-J15-J13-J11-J9-J19)/J4)</f>
        <v/>
      </c>
      <c r="K21" s="31"/>
      <c r="L21" s="29"/>
      <c r="M21" s="30" t="str">
        <f>IF(M4="","",(M20-M17-M15-M13-M11-M9-M19)/M4)</f>
        <v/>
      </c>
      <c r="N21" s="31"/>
      <c r="O21" s="29"/>
      <c r="P21" s="30" t="str">
        <f>IF(P4="","",(P20-P17-P15-P13-P11-P9-P19)/P4)</f>
        <v/>
      </c>
      <c r="Q21" s="31"/>
      <c r="R21" s="426" t="s">
        <v>42</v>
      </c>
    </row>
    <row r="22" spans="1:18" ht="18" customHeight="1" x14ac:dyDescent="0.3">
      <c r="A22" s="8" t="s">
        <v>43</v>
      </c>
      <c r="B22" s="24"/>
      <c r="C22" s="25"/>
      <c r="D22" s="34" t="str">
        <f>IF(D21="","",D20/D4-1)</f>
        <v/>
      </c>
      <c r="E22" s="34"/>
      <c r="F22" s="25"/>
      <c r="G22" s="34" t="str">
        <f>IF(G21="","",G20/G4-1)</f>
        <v/>
      </c>
      <c r="H22" s="34"/>
      <c r="I22" s="25"/>
      <c r="J22" s="34" t="str">
        <f>IF(J21="","",J20/J4-1)</f>
        <v/>
      </c>
      <c r="K22" s="34"/>
      <c r="L22" s="25"/>
      <c r="M22" s="34" t="str">
        <f>IF(M21="","",M20/M4-1)</f>
        <v/>
      </c>
      <c r="N22" s="34"/>
      <c r="O22" s="25"/>
      <c r="P22" s="34" t="str">
        <f>IF(P21="","",P20/P4-1)</f>
        <v/>
      </c>
      <c r="Q22" s="34"/>
      <c r="R22" s="426"/>
    </row>
    <row r="23" spans="1:18" ht="18" customHeight="1" x14ac:dyDescent="0.3">
      <c r="A23" s="431" t="s">
        <v>44</v>
      </c>
      <c r="B23" s="35"/>
      <c r="C23" s="36"/>
      <c r="D23" s="91">
        <v>0</v>
      </c>
      <c r="E23" s="37"/>
      <c r="F23" s="36"/>
      <c r="G23" s="91">
        <v>0</v>
      </c>
      <c r="H23" s="37"/>
      <c r="I23" s="36"/>
      <c r="J23" s="91">
        <v>0</v>
      </c>
      <c r="K23" s="37"/>
      <c r="L23" s="36"/>
      <c r="M23" s="91">
        <v>0</v>
      </c>
      <c r="N23" s="37"/>
      <c r="O23" s="36"/>
      <c r="P23" s="91">
        <v>0</v>
      </c>
      <c r="Q23" s="37"/>
      <c r="R23" s="432" t="s">
        <v>45</v>
      </c>
    </row>
    <row r="24" spans="1:18" ht="18" customHeight="1" x14ac:dyDescent="0.3">
      <c r="A24" s="431"/>
      <c r="B24" s="3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432"/>
    </row>
    <row r="25" spans="1:18" ht="18" hidden="1" customHeight="1" thickTop="1" thickBot="1" x14ac:dyDescent="0.35">
      <c r="A25" s="42" t="s">
        <v>88</v>
      </c>
      <c r="B25" s="115" t="s">
        <v>89</v>
      </c>
    </row>
    <row r="26" spans="1:18" ht="18" customHeight="1" thickBot="1" x14ac:dyDescent="0.35">
      <c r="G26" s="286"/>
    </row>
    <row r="27" spans="1:18" ht="46.5" customHeight="1" thickBot="1" x14ac:dyDescent="0.35">
      <c r="B27" s="427" t="s">
        <v>46</v>
      </c>
      <c r="C27" s="428"/>
      <c r="D27" s="315"/>
      <c r="E27" s="411"/>
      <c r="F27" s="412"/>
      <c r="G27" s="315"/>
      <c r="H27" s="411"/>
      <c r="I27" s="412"/>
      <c r="J27" s="315"/>
      <c r="K27" s="411"/>
      <c r="L27" s="412"/>
      <c r="M27" s="315"/>
      <c r="N27" s="411"/>
      <c r="O27" s="412"/>
      <c r="P27" s="315"/>
    </row>
    <row r="28" spans="1:18" ht="35.25" customHeight="1" thickBot="1" x14ac:dyDescent="0.35">
      <c r="B28" s="427" t="s">
        <v>47</v>
      </c>
      <c r="C28" s="428"/>
      <c r="D28" s="315"/>
      <c r="E28" s="413"/>
      <c r="F28" s="412"/>
      <c r="G28" s="315"/>
      <c r="H28" s="411"/>
      <c r="I28" s="412"/>
      <c r="J28" s="315"/>
      <c r="K28" s="411"/>
      <c r="L28" s="412"/>
      <c r="M28" s="315"/>
      <c r="N28" s="411"/>
      <c r="O28" s="412"/>
      <c r="P28" s="315"/>
    </row>
    <row r="29" spans="1:18" ht="33" customHeight="1" thickBot="1" x14ac:dyDescent="0.35">
      <c r="B29" s="429" t="s">
        <v>48</v>
      </c>
      <c r="C29" s="430"/>
      <c r="D29" s="414">
        <f>IFERROR(D20*D28,"")</f>
        <v>0</v>
      </c>
      <c r="E29" s="411"/>
      <c r="F29" s="415"/>
      <c r="G29" s="414">
        <f>IFERROR(G20*G28,"")</f>
        <v>0</v>
      </c>
      <c r="H29" s="411"/>
      <c r="I29" s="415"/>
      <c r="J29" s="414">
        <f>IFERROR(J20*J28,"")</f>
        <v>0</v>
      </c>
      <c r="K29" s="411"/>
      <c r="L29" s="415"/>
      <c r="M29" s="414">
        <f>IFERROR(M20*M28,"")</f>
        <v>0</v>
      </c>
      <c r="N29" s="411"/>
      <c r="O29" s="415"/>
      <c r="P29" s="414">
        <f>IFERROR(P20*P28,"")</f>
        <v>0</v>
      </c>
    </row>
    <row r="30" spans="1:18" ht="18" customHeight="1" thickBot="1" x14ac:dyDescent="0.35"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8" ht="40.5" customHeight="1" thickBot="1" x14ac:dyDescent="0.35">
      <c r="B31" s="314" t="s">
        <v>49</v>
      </c>
      <c r="C31" s="343"/>
      <c r="D31" s="407"/>
      <c r="E31" s="416"/>
      <c r="F31" s="416"/>
      <c r="G31" s="407"/>
      <c r="H31" s="416"/>
      <c r="I31" s="416"/>
      <c r="J31" s="407"/>
      <c r="K31" s="416"/>
      <c r="L31" s="416"/>
      <c r="M31" s="407"/>
      <c r="N31" s="416"/>
      <c r="O31" s="416"/>
      <c r="P31" s="407"/>
    </row>
    <row r="32" spans="1:18" ht="18" customHeight="1" thickBot="1" x14ac:dyDescent="0.35"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2:16" ht="37.5" customHeight="1" thickBot="1" x14ac:dyDescent="0.35">
      <c r="B33" s="427" t="s">
        <v>50</v>
      </c>
      <c r="C33" s="428"/>
      <c r="D33" s="419">
        <f>IFERROR(D9+D11,"")</f>
        <v>0</v>
      </c>
      <c r="E33" s="416"/>
      <c r="F33" s="416"/>
      <c r="G33" s="419">
        <f>IFERROR(G9+G11,"")</f>
        <v>0</v>
      </c>
      <c r="H33" s="416"/>
      <c r="I33" s="416"/>
      <c r="J33" s="419">
        <f>IFERROR(J9+J11,"")</f>
        <v>0</v>
      </c>
      <c r="K33" s="416"/>
      <c r="L33" s="416"/>
      <c r="M33" s="419">
        <f>IFERROR(M9+M11,"")</f>
        <v>0</v>
      </c>
      <c r="N33" s="416"/>
      <c r="O33" s="416"/>
      <c r="P33" s="419">
        <f>IFERROR(P9+P11,"")</f>
        <v>0</v>
      </c>
    </row>
    <row r="34" spans="2:16" ht="18" customHeight="1" thickBot="1" x14ac:dyDescent="0.35">
      <c r="B34" s="427" t="s">
        <v>51</v>
      </c>
      <c r="C34" s="428"/>
      <c r="D34" s="420">
        <f>IFERROR(D13+D15+D17+D19,"")</f>
        <v>0</v>
      </c>
      <c r="E34" s="416"/>
      <c r="F34" s="416"/>
      <c r="G34" s="420">
        <f>IFERROR(G13+G15+G17+G19,"")</f>
        <v>0</v>
      </c>
      <c r="H34" s="416"/>
      <c r="I34" s="416"/>
      <c r="J34" s="420">
        <f>IFERROR(J13+J15+J17+J19,"")</f>
        <v>0</v>
      </c>
      <c r="K34" s="416"/>
      <c r="L34" s="416"/>
      <c r="M34" s="420">
        <f>IFERROR(M13+M15+M17+M19,"")</f>
        <v>0</v>
      </c>
      <c r="N34" s="416"/>
      <c r="O34" s="416"/>
      <c r="P34" s="420">
        <f>IFERROR(P13+P15+P17+P19,"")</f>
        <v>0</v>
      </c>
    </row>
    <row r="35" spans="2:16" ht="18" customHeight="1" thickBot="1" x14ac:dyDescent="0.35"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2:16" ht="18" customHeight="1" thickBot="1" x14ac:dyDescent="0.35">
      <c r="B36" s="427" t="s">
        <v>52</v>
      </c>
      <c r="C36" s="428"/>
      <c r="D36" s="400"/>
      <c r="E36" s="416"/>
      <c r="F36" s="416"/>
      <c r="G36" s="400"/>
      <c r="H36" s="416"/>
      <c r="I36" s="416"/>
      <c r="J36" s="400"/>
      <c r="K36" s="416"/>
      <c r="L36" s="416"/>
      <c r="M36" s="400"/>
      <c r="N36" s="416"/>
      <c r="O36" s="416"/>
      <c r="P36" s="400"/>
    </row>
    <row r="37" spans="2:16" ht="18" customHeight="1" thickBot="1" x14ac:dyDescent="0.35"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2:16" ht="18" customHeight="1" thickBot="1" x14ac:dyDescent="0.35">
      <c r="B38" s="314" t="s">
        <v>53</v>
      </c>
      <c r="C38" s="343"/>
      <c r="D38" s="346" t="str">
        <f>IFERROR(IF(D9="","",((D20-D17-D15-D13-D11-D9-D19)-((D20-D17-D15-D13-D11-D9-D19)*D36))/D20),"")</f>
        <v/>
      </c>
      <c r="E38" s="417"/>
      <c r="F38" s="417"/>
      <c r="G38" s="346" t="str">
        <f>IFERROR(IF(G9="","",((G20-G17-G15-G13-G11-G9-G19)-((G20-G17-G15-G13-G11-G9-G19)*G36))/G20),"")</f>
        <v/>
      </c>
      <c r="H38" s="417"/>
      <c r="I38" s="417"/>
      <c r="J38" s="346" t="str">
        <f>IFERROR(IF(J9="","",((J20-J17-J15-J13-J11-J9-J19)-((J20-J17-J15-J13-J11-J9-J19)*J36))/J20),"")</f>
        <v/>
      </c>
      <c r="K38" s="417"/>
      <c r="L38" s="417"/>
      <c r="M38" s="346" t="str">
        <f>IFERROR(IF(M9="","",((M20-M17-M15-M13-M11-M9-M19)-((M20-M17-M15-M13-M11-M9-M19)*M36))/M20),"")</f>
        <v/>
      </c>
      <c r="N38" s="417"/>
      <c r="O38" s="417"/>
      <c r="P38" s="346" t="str">
        <f>IFERROR(IF(P9="","",((P20-P17-P15-P13-P11-P9-P19)-((P20-P17-P15-P13-P11-P9-P19)*P36))/P20),"")</f>
        <v/>
      </c>
    </row>
    <row r="39" spans="2:16" ht="18" customHeight="1" thickBot="1" x14ac:dyDescent="0.35">
      <c r="B39" s="429" t="s">
        <v>54</v>
      </c>
      <c r="C39" s="430"/>
      <c r="D39" s="418">
        <f>IFERROR((D38*D29),0)</f>
        <v>0</v>
      </c>
      <c r="E39" s="416"/>
      <c r="F39" s="416"/>
      <c r="G39" s="418">
        <f>IFERROR((G38*G29),0)</f>
        <v>0</v>
      </c>
      <c r="H39" s="416"/>
      <c r="I39" s="416"/>
      <c r="J39" s="418">
        <f>IFERROR((J38*J29),0)</f>
        <v>0</v>
      </c>
      <c r="K39" s="416"/>
      <c r="L39" s="416"/>
      <c r="M39" s="418">
        <f>IFERROR((M38*M29),0)</f>
        <v>0</v>
      </c>
      <c r="N39" s="416"/>
      <c r="O39" s="416"/>
      <c r="P39" s="418">
        <f>IFERROR((P38*P29),0)</f>
        <v>0</v>
      </c>
    </row>
    <row r="40" spans="2:16" ht="18" customHeight="1" thickBot="1" x14ac:dyDescent="0.35"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2:16" ht="18" customHeight="1" thickBot="1" x14ac:dyDescent="0.35">
      <c r="B41" s="427" t="s">
        <v>55</v>
      </c>
      <c r="C41" s="428"/>
      <c r="D41" s="399"/>
      <c r="E41" s="416"/>
      <c r="F41" s="416"/>
      <c r="G41" s="399"/>
      <c r="H41" s="416"/>
      <c r="I41" s="416"/>
      <c r="J41" s="399"/>
      <c r="K41" s="416"/>
      <c r="L41" s="416"/>
      <c r="M41" s="399"/>
      <c r="N41" s="416"/>
      <c r="O41" s="416"/>
      <c r="P41" s="399"/>
    </row>
    <row r="42" spans="2:16" ht="18" customHeight="1" thickBot="1" x14ac:dyDescent="0.35">
      <c r="B42" s="427" t="s">
        <v>56</v>
      </c>
      <c r="C42" s="428"/>
      <c r="D42" s="346" t="str">
        <f>IFERROR(IF(D9="","",((D20-D17-D15-D13-D11-D9-D19)-((D20-D17-D15-D13-D11-D9-D19)*D36)-(D41*D20))/D20),"")</f>
        <v/>
      </c>
      <c r="E42" s="416"/>
      <c r="F42" s="416"/>
      <c r="G42" s="346" t="str">
        <f>IFERROR(IF(G9="","",((G20-G17-G15-G13-G11-G9-G19)-((G20-G17-G15-G13-G11-G9-G19)*G36)-(G41*G20))/G20),"")</f>
        <v/>
      </c>
      <c r="H42" s="416"/>
      <c r="I42" s="416"/>
      <c r="J42" s="346" t="str">
        <f>IFERROR(IF(J9="","",((J20-J17-J15-J13-J11-J9-J19)-((J20-J17-J15-J13-J11-J9-J19)*J36)-(J41*J20))/J20),"")</f>
        <v/>
      </c>
      <c r="K42" s="416"/>
      <c r="L42" s="416"/>
      <c r="M42" s="346" t="str">
        <f>IFERROR(IF(M9="","",((M20-M17-M15-M13-M11-M9-M19)-((M20-M17-M15-M13-M11-M9-M19)*M36)-(M41*M20))/M20),"")</f>
        <v/>
      </c>
      <c r="N42" s="416"/>
      <c r="O42" s="416"/>
      <c r="P42" s="346" t="str">
        <f>IFERROR(IF(P9="","",((P20-P17-P15-P13-P11-P9-P19)-((P20-P17-P15-P13-P11-P9-P19)*P36)-(P41*P20))/P20),"")</f>
        <v/>
      </c>
    </row>
    <row r="43" spans="2:16" ht="18" customHeight="1" thickBot="1" x14ac:dyDescent="0.35">
      <c r="B43" s="429" t="s">
        <v>57</v>
      </c>
      <c r="C43" s="430"/>
      <c r="D43" s="418">
        <f>IFERROR(D39-(D41*D29),0)</f>
        <v>0</v>
      </c>
      <c r="E43" s="416"/>
      <c r="F43" s="416"/>
      <c r="G43" s="418">
        <f>IFERROR(G39-(G41*G29),0)</f>
        <v>0</v>
      </c>
      <c r="H43" s="416"/>
      <c r="I43" s="416"/>
      <c r="J43" s="418">
        <f>IFERROR(J39-(J41*J29),0)</f>
        <v>0</v>
      </c>
      <c r="K43" s="416"/>
      <c r="L43" s="416"/>
      <c r="M43" s="418">
        <f>IFERROR(M39-(M41*M29),0)</f>
        <v>0</v>
      </c>
      <c r="N43" s="416"/>
      <c r="O43" s="416"/>
      <c r="P43" s="418">
        <f>IFERROR(P39-(P41*P29),0)</f>
        <v>0</v>
      </c>
    </row>
  </sheetData>
  <sheetProtection sheet="1" objects="1" scenarios="1"/>
  <mergeCells count="16">
    <mergeCell ref="B42:C42"/>
    <mergeCell ref="B43:C43"/>
    <mergeCell ref="B33:C33"/>
    <mergeCell ref="B34:C34"/>
    <mergeCell ref="B36:C36"/>
    <mergeCell ref="B39:C39"/>
    <mergeCell ref="B41:C41"/>
    <mergeCell ref="B28:C28"/>
    <mergeCell ref="B29:C29"/>
    <mergeCell ref="A23:A24"/>
    <mergeCell ref="R23:R24"/>
    <mergeCell ref="R1:R9"/>
    <mergeCell ref="R10:R11"/>
    <mergeCell ref="R12:R20"/>
    <mergeCell ref="R21:R22"/>
    <mergeCell ref="B27:C27"/>
  </mergeCells>
  <dataValidations disablePrompts="1" count="1">
    <dataValidation type="list" allowBlank="1" showInputMessage="1" showErrorMessage="1" sqref="B25" xr:uid="{00000000-0002-0000-0700-00000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lrsolverlinh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Button 8">
              <controlPr defaultSize="0" print="0" autoFill="0" autoPict="0" macro="[0]!Botão34_Clique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Button 9">
              <controlPr defaultSize="0" print="0" autoFill="0" autoPict="0" macro="[0]!subtrair1linha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3" name="Button 10">
              <controlPr defaultSize="0" print="0" autoFill="0" autoPict="0" macro="[0]!lrsolvercoluna1">
                <anchor moveWithCells="1" sizeWithCells="1">
                  <from>
                    <xdr:col>3</xdr:col>
                    <xdr:colOff>7620</xdr:colOff>
                    <xdr:row>23</xdr:row>
                    <xdr:rowOff>7620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4" name="Button 11">
              <controlPr defaultSize="0" print="0" autoFill="0" autoPict="0" macro="[0]!somarcol1">
                <anchor moveWithCells="1" sizeWithCells="1">
                  <from>
                    <xdr:col>4</xdr:col>
                    <xdr:colOff>0</xdr:colOff>
                    <xdr:row>22</xdr:row>
                    <xdr:rowOff>7620</xdr:rowOff>
                  </from>
                  <to>
                    <xdr:col>4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5" name="Button 12">
              <controlPr defaultSize="0" print="0" autoFill="0" autoPict="0" macro="[0]!subcol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6" name="Button 13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7" name="Button 14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8" name="Button 15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9" name="Button 16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20" name="Button 17">
              <controlPr defaultSize="0" print="0" autoFill="0" autoPict="0" macro="[0]!Botão34_Clique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1" name="Button 18">
              <controlPr defaultSize="0" print="0" autoFill="0" autoPict="0" macro="[0]!subtrair1linha1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22" name="Button 19">
              <controlPr defaultSize="0" print="0" autoFill="0" autoPict="0" macro="[0]!lrsolvercoluna2">
                <anchor moveWithCells="1" sizeWithCells="1">
                  <from>
                    <xdr:col>6</xdr:col>
                    <xdr:colOff>7620</xdr:colOff>
                    <xdr:row>23</xdr:row>
                    <xdr:rowOff>7620</xdr:rowOff>
                  </from>
                  <to>
                    <xdr:col>7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23" name="Button 20">
              <controlPr defaultSize="0" print="0" autoFill="0" autoPict="0" macro="[0]!somarcol2">
                <anchor moveWithCells="1" sizeWithCells="1">
                  <from>
                    <xdr:col>7</xdr:col>
                    <xdr:colOff>0</xdr:colOff>
                    <xdr:row>22</xdr:row>
                    <xdr:rowOff>7620</xdr:rowOff>
                  </from>
                  <to>
                    <xdr:col>7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24" name="Button 21">
              <controlPr defaultSize="0" print="0" autoFill="0" autoPict="0" macro="[0]!subcol2">
                <anchor moveWithCells="1" siz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25" name="Button 22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26" name="Button 23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27" name="Button 24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8" name="Button 25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9" name="Button 26">
              <controlPr defaultSize="0" print="0" autoFill="0" autoPict="0" macro="[0]!Botão34_Clique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30" name="Button 27">
              <controlPr defaultSize="0" print="0" autoFill="0" autoPict="0" macro="[0]!subtrair1linha1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31" name="Button 28">
              <controlPr defaultSize="0" print="0" autoFill="0" autoPict="0" macro="[0]!lrsolvercoluna3">
                <anchor moveWithCells="1" sizeWithCells="1">
                  <from>
                    <xdr:col>9</xdr:col>
                    <xdr:colOff>7620</xdr:colOff>
                    <xdr:row>23</xdr:row>
                    <xdr:rowOff>7620</xdr:rowOff>
                  </from>
                  <to>
                    <xdr:col>10</xdr:col>
                    <xdr:colOff>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32" name="Button 29">
              <controlPr defaultSize="0" print="0" autoFill="0" autoPict="0" macro="[0]!somarcol3">
                <anchor moveWithCells="1" sizeWithCells="1">
                  <from>
                    <xdr:col>10</xdr:col>
                    <xdr:colOff>0</xdr:colOff>
                    <xdr:row>22</xdr:row>
                    <xdr:rowOff>7620</xdr:rowOff>
                  </from>
                  <to>
                    <xdr:col>10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33" name="Button 30">
              <controlPr defaultSize="0" print="0" autoFill="0" autoPict="0" macro="[0]!subcol3">
                <anchor moveWithCells="1" siz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34" name="Button 31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35" name="Button 32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36" name="Button 33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37" name="Button 34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8" name="Button 35">
              <controlPr defaultSize="0" print="0" autoFill="0" autoPict="0" macro="[0]!Botão34_Clique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9" name="Button 36">
              <controlPr defaultSize="0" print="0" autoFill="0" autoPict="0" macro="[0]!subtrair1linha1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40" name="Button 37">
              <controlPr defaultSize="0" print="0" autoFill="0" autoPict="0" macro="[0]!lrsolvercoluna4">
                <anchor moveWithCells="1" sizeWithCells="1">
                  <from>
                    <xdr:col>12</xdr:col>
                    <xdr:colOff>7620</xdr:colOff>
                    <xdr:row>23</xdr:row>
                    <xdr:rowOff>7620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41" name="Button 38">
              <controlPr defaultSize="0" print="0" autoFill="0" autoPict="0" macro="[0]!somarcol4">
                <anchor moveWithCells="1" sizeWithCells="1">
                  <from>
                    <xdr:col>13</xdr:col>
                    <xdr:colOff>0</xdr:colOff>
                    <xdr:row>22</xdr:row>
                    <xdr:rowOff>7620</xdr:rowOff>
                  </from>
                  <to>
                    <xdr:col>13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42" name="Button 39">
              <controlPr defaultSize="0" print="0" autoFill="0" autoPict="0" macro="[0]!subcol4">
                <anchor moveWithCells="1" siz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43" name="Button 40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44" name="Button 41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45" name="Button 42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46" name="Button 43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47" name="Button 44">
              <controlPr defaultSize="0" print="0" autoFill="0" autoPict="0" macro="[0]!Botão34_Clique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8" name="Button 45">
              <controlPr defaultSize="0" print="0" autoFill="0" autoPict="0" macro="[0]!subtrair1linha1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9" name="Button 46">
              <controlPr defaultSize="0" print="0" autoFill="0" autoPict="0" macro="[0]!lrsolvercoluna5">
                <anchor moveWithCells="1" sizeWithCells="1">
                  <from>
                    <xdr:col>15</xdr:col>
                    <xdr:colOff>7620</xdr:colOff>
                    <xdr:row>23</xdr:row>
                    <xdr:rowOff>7620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50" name="Button 47">
              <controlPr defaultSize="0" print="0" autoFill="0" autoPict="0" macro="[0]!somarcol5">
                <anchor moveWithCells="1" sizeWithCells="1">
                  <from>
                    <xdr:col>16</xdr:col>
                    <xdr:colOff>0</xdr:colOff>
                    <xdr:row>22</xdr:row>
                    <xdr:rowOff>7620</xdr:rowOff>
                  </from>
                  <to>
                    <xdr:col>16</xdr:col>
                    <xdr:colOff>251460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51" name="Button 48">
              <controlPr defaultSize="0" print="0" autoFill="0" autoPict="0" macro="[0]!subcol5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7620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>
    <tabColor theme="1"/>
    <pageSetUpPr fitToPage="1"/>
  </sheetPr>
  <dimension ref="A1:AL235"/>
  <sheetViews>
    <sheetView showGridLines="0" tabSelected="1" topLeftCell="B1" zoomScale="70" zoomScaleNormal="70" zoomScaleSheetLayoutView="100" workbookViewId="0">
      <pane ySplit="5" topLeftCell="A71" activePane="bottomLeft" state="frozen"/>
      <selection activeCell="A10" sqref="A10:K10"/>
      <selection pane="bottomLeft" activeCell="F59" sqref="F59"/>
    </sheetView>
  </sheetViews>
  <sheetFormatPr defaultColWidth="9.109375" defaultRowHeight="14.4" x14ac:dyDescent="0.3"/>
  <cols>
    <col min="1" max="1" width="14.5546875" style="118" customWidth="1"/>
    <col min="2" max="2" width="60" style="118" customWidth="1"/>
    <col min="3" max="3" width="25.6640625" style="118" bestFit="1" customWidth="1"/>
    <col min="4" max="4" width="29.33203125" style="118" customWidth="1"/>
    <col min="5" max="5" width="25.33203125" style="118" customWidth="1"/>
    <col min="6" max="6" width="29.109375" style="118" bestFit="1" customWidth="1"/>
    <col min="7" max="7" width="25.33203125" style="118" customWidth="1"/>
    <col min="8" max="8" width="24.33203125" style="116" customWidth="1"/>
    <col min="9" max="9" width="22" style="116" customWidth="1"/>
    <col min="10" max="10" width="23" style="116" customWidth="1"/>
    <col min="11" max="11" width="20.33203125" style="116" bestFit="1" customWidth="1"/>
    <col min="12" max="12" width="16.33203125" style="116" bestFit="1" customWidth="1"/>
    <col min="13" max="13" width="9.109375" style="116" hidden="1" customWidth="1"/>
    <col min="14" max="14" width="18" style="117" hidden="1" customWidth="1"/>
    <col min="15" max="15" width="22.5546875" style="117" hidden="1" customWidth="1"/>
    <col min="16" max="16" width="20.109375" style="117" hidden="1" customWidth="1"/>
    <col min="17" max="17" width="20.5546875" style="117" hidden="1" customWidth="1"/>
    <col min="18" max="18" width="20.88671875" style="117" hidden="1" customWidth="1"/>
    <col min="19" max="20" width="17.109375" style="117" hidden="1" customWidth="1"/>
    <col min="21" max="21" width="17.6640625" style="117" hidden="1" customWidth="1"/>
    <col min="22" max="22" width="20.6640625" style="117" hidden="1" customWidth="1"/>
    <col min="23" max="23" width="20.109375" style="117" hidden="1" customWidth="1"/>
    <col min="24" max="24" width="18.5546875" style="117" hidden="1" customWidth="1"/>
    <col min="25" max="25" width="21.109375" style="117" hidden="1" customWidth="1"/>
    <col min="26" max="26" width="19.88671875" style="117" hidden="1" customWidth="1"/>
    <col min="27" max="28" width="26" style="117" hidden="1" customWidth="1"/>
    <col min="29" max="29" width="0" style="117" hidden="1" customWidth="1"/>
    <col min="30" max="30" width="0" style="116" hidden="1" customWidth="1"/>
    <col min="31" max="32" width="9.109375" style="116"/>
    <col min="33" max="33" width="18" style="116" hidden="1" customWidth="1"/>
    <col min="34" max="37" width="9.109375" style="116"/>
    <col min="38" max="38" width="0" style="116" hidden="1" customWidth="1"/>
    <col min="39" max="16384" width="9.109375" style="116"/>
  </cols>
  <sheetData>
    <row r="1" spans="1:38" ht="15" customHeight="1" x14ac:dyDescent="0.3">
      <c r="A1" s="494"/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</row>
    <row r="2" spans="1:38" ht="15" customHeight="1" x14ac:dyDescent="0.3">
      <c r="A2" s="494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</row>
    <row r="3" spans="1:38" ht="15" customHeight="1" x14ac:dyDescent="0.3">
      <c r="A3" s="494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</row>
    <row r="4" spans="1:38" ht="21" customHeight="1" x14ac:dyDescent="0.3">
      <c r="A4" s="494"/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</row>
    <row r="5" spans="1:38" ht="31.8" thickBot="1" x14ac:dyDescent="0.35">
      <c r="A5" s="167"/>
      <c r="B5" s="166"/>
      <c r="C5" s="166"/>
      <c r="D5" s="166"/>
      <c r="E5" s="166"/>
      <c r="F5" s="165"/>
      <c r="G5" s="165"/>
      <c r="H5" s="165"/>
      <c r="I5" s="165"/>
      <c r="J5" s="165"/>
      <c r="K5" s="165"/>
      <c r="L5" s="165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</row>
    <row r="6" spans="1:38" ht="41.25" customHeight="1" thickTop="1" thickBot="1" x14ac:dyDescent="0.35">
      <c r="A6" s="459" t="s">
        <v>92</v>
      </c>
      <c r="B6" s="459"/>
      <c r="C6" s="459"/>
      <c r="D6" s="459"/>
      <c r="E6" s="459"/>
      <c r="F6" s="459"/>
      <c r="G6" s="459"/>
      <c r="H6" s="459"/>
      <c r="I6" s="459"/>
      <c r="J6" s="459"/>
      <c r="K6" s="459"/>
      <c r="L6" s="15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</row>
    <row r="7" spans="1:38" ht="41.25" customHeight="1" thickTop="1" x14ac:dyDescent="0.3">
      <c r="A7" s="271"/>
      <c r="B7" s="266"/>
      <c r="C7" s="266"/>
      <c r="D7" s="267"/>
      <c r="E7" s="267"/>
      <c r="F7" s="267"/>
      <c r="G7" s="267"/>
      <c r="H7" s="267"/>
      <c r="I7" s="193"/>
      <c r="J7" s="193"/>
      <c r="K7" s="267"/>
      <c r="L7" s="193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</row>
    <row r="8" spans="1:38" ht="37.5" customHeight="1" x14ac:dyDescent="0.3">
      <c r="A8" s="498" t="s">
        <v>93</v>
      </c>
      <c r="B8" s="498"/>
      <c r="C8" s="499"/>
      <c r="D8" s="164" t="s">
        <v>94</v>
      </c>
      <c r="E8" s="164" t="s">
        <v>95</v>
      </c>
      <c r="F8" s="164" t="s">
        <v>96</v>
      </c>
      <c r="G8" s="163" t="s">
        <v>97</v>
      </c>
      <c r="H8" s="349" t="s">
        <v>98</v>
      </c>
      <c r="I8" s="342" t="s">
        <v>99</v>
      </c>
      <c r="J8" s="318" t="s">
        <v>39</v>
      </c>
      <c r="K8" s="193"/>
      <c r="L8" s="193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G8" s="162" t="s">
        <v>100</v>
      </c>
    </row>
    <row r="9" spans="1:38" ht="24.9" customHeight="1" x14ac:dyDescent="0.3">
      <c r="A9" s="497"/>
      <c r="B9" s="457"/>
      <c r="C9" s="458"/>
      <c r="D9" s="316"/>
      <c r="E9" s="319"/>
      <c r="F9" s="196"/>
      <c r="G9" s="213">
        <f>IFERROR(IF(D9="",0,(E9*AL9)),"")</f>
        <v>0</v>
      </c>
      <c r="H9" s="196"/>
      <c r="I9" s="347" t="str">
        <f>IFERROR(J9/(G9+F9),"")</f>
        <v/>
      </c>
      <c r="J9" s="213" t="str">
        <f>IF(H9&lt;&gt;"",IFERROR(E9*H9,""),"")</f>
        <v/>
      </c>
      <c r="K9" s="193"/>
      <c r="L9" s="193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G9" s="269" t="str">
        <f>IFERROR((VLOOKUP(A9,Lista,5,FALSE)+F9),"")</f>
        <v/>
      </c>
      <c r="AL9" s="116" t="str">
        <f>IFERROR(HLOOKUP(D9,Dados!$K$87:$O$88,2,FALSE),"")</f>
        <v/>
      </c>
    </row>
    <row r="10" spans="1:38" ht="24.9" customHeight="1" x14ac:dyDescent="0.3">
      <c r="A10" s="455"/>
      <c r="B10" s="455"/>
      <c r="C10" s="456"/>
      <c r="D10" s="317"/>
      <c r="E10" s="320"/>
      <c r="F10" s="195"/>
      <c r="G10" s="268">
        <f t="shared" ref="G10:G23" si="0">IFERROR(IF(D10="",0,(E10*AL10)),"")</f>
        <v>0</v>
      </c>
      <c r="H10" s="195"/>
      <c r="I10" s="348" t="str">
        <f t="shared" ref="I10:I23" si="1">IFERROR(J10/(G10+F10),"")</f>
        <v/>
      </c>
      <c r="J10" s="268" t="str">
        <f t="shared" ref="J10:J23" si="2">IF(H10&lt;&gt;"",IFERROR(E10*H10,""),"")</f>
        <v/>
      </c>
      <c r="K10" s="193"/>
      <c r="L10" s="193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G10" s="270" t="str">
        <f>IFERROR((VLOOKUP(A10,Lista,5,FALSE)+F10),"")</f>
        <v/>
      </c>
      <c r="AL10" s="116" t="str">
        <f>IFERROR(HLOOKUP(D10,Dados!$K$87:$O$88,2,FALSE),"")</f>
        <v/>
      </c>
    </row>
    <row r="11" spans="1:38" ht="24.9" customHeight="1" x14ac:dyDescent="0.3">
      <c r="A11" s="457"/>
      <c r="B11" s="457"/>
      <c r="C11" s="458"/>
      <c r="D11" s="316"/>
      <c r="E11" s="319"/>
      <c r="F11" s="196"/>
      <c r="G11" s="213">
        <f t="shared" si="0"/>
        <v>0</v>
      </c>
      <c r="H11" s="196"/>
      <c r="I11" s="347" t="str">
        <f t="shared" si="1"/>
        <v/>
      </c>
      <c r="J11" s="213" t="str">
        <f t="shared" si="2"/>
        <v/>
      </c>
      <c r="K11" s="193"/>
      <c r="L11" s="193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G11" s="269" t="str">
        <f t="shared" ref="AG11:AG23" si="3">IFERROR((VLOOKUP(A11,Lista,5,FALSE)+F11),"")</f>
        <v/>
      </c>
      <c r="AL11" s="116" t="str">
        <f>IFERROR(HLOOKUP(D11,Dados!$K$87:$O$88,2,FALSE),"")</f>
        <v/>
      </c>
    </row>
    <row r="12" spans="1:38" ht="24.9" customHeight="1" x14ac:dyDescent="0.3">
      <c r="A12" s="455"/>
      <c r="B12" s="455"/>
      <c r="C12" s="456"/>
      <c r="D12" s="317"/>
      <c r="E12" s="320"/>
      <c r="F12" s="195"/>
      <c r="G12" s="268">
        <f t="shared" si="0"/>
        <v>0</v>
      </c>
      <c r="H12" s="195"/>
      <c r="I12" s="348" t="str">
        <f t="shared" si="1"/>
        <v/>
      </c>
      <c r="J12" s="268" t="str">
        <f t="shared" si="2"/>
        <v/>
      </c>
      <c r="K12" s="193"/>
      <c r="L12" s="193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G12" s="270" t="str">
        <f t="shared" si="3"/>
        <v/>
      </c>
      <c r="AL12" s="116" t="str">
        <f>IFERROR(HLOOKUP(D12,Dados!$K$87:$O$88,2,FALSE),"")</f>
        <v/>
      </c>
    </row>
    <row r="13" spans="1:38" ht="24.9" customHeight="1" x14ac:dyDescent="0.3">
      <c r="A13" s="457"/>
      <c r="B13" s="457"/>
      <c r="C13" s="458"/>
      <c r="D13" s="316"/>
      <c r="E13" s="319"/>
      <c r="F13" s="196"/>
      <c r="G13" s="213">
        <f t="shared" si="0"/>
        <v>0</v>
      </c>
      <c r="H13" s="196"/>
      <c r="I13" s="347" t="str">
        <f t="shared" si="1"/>
        <v/>
      </c>
      <c r="J13" s="213" t="str">
        <f t="shared" si="2"/>
        <v/>
      </c>
      <c r="K13" s="193"/>
      <c r="L13" s="193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G13" s="269" t="str">
        <f t="shared" si="3"/>
        <v/>
      </c>
      <c r="AL13" s="116" t="str">
        <f>IFERROR(HLOOKUP(D13,Dados!$K$87:$O$88,2,FALSE),"")</f>
        <v/>
      </c>
    </row>
    <row r="14" spans="1:38" ht="24.9" customHeight="1" x14ac:dyDescent="0.3">
      <c r="A14" s="455"/>
      <c r="B14" s="455"/>
      <c r="C14" s="456"/>
      <c r="D14" s="317"/>
      <c r="E14" s="320"/>
      <c r="F14" s="195"/>
      <c r="G14" s="268">
        <f t="shared" si="0"/>
        <v>0</v>
      </c>
      <c r="H14" s="195"/>
      <c r="I14" s="348" t="str">
        <f t="shared" si="1"/>
        <v/>
      </c>
      <c r="J14" s="268" t="str">
        <f t="shared" si="2"/>
        <v/>
      </c>
      <c r="K14" s="193"/>
      <c r="L14" s="193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G14" s="270" t="str">
        <f t="shared" si="3"/>
        <v/>
      </c>
      <c r="AL14" s="116" t="str">
        <f>IFERROR(HLOOKUP(D14,Dados!$K$87:$O$88,2,FALSE),"")</f>
        <v/>
      </c>
    </row>
    <row r="15" spans="1:38" ht="24.9" customHeight="1" x14ac:dyDescent="0.3">
      <c r="A15" s="457"/>
      <c r="B15" s="457"/>
      <c r="C15" s="458"/>
      <c r="D15" s="316"/>
      <c r="E15" s="319"/>
      <c r="F15" s="196"/>
      <c r="G15" s="213">
        <f t="shared" si="0"/>
        <v>0</v>
      </c>
      <c r="H15" s="196"/>
      <c r="I15" s="347" t="str">
        <f t="shared" si="1"/>
        <v/>
      </c>
      <c r="J15" s="213" t="str">
        <f t="shared" si="2"/>
        <v/>
      </c>
      <c r="K15" s="193"/>
      <c r="L15" s="193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G15" s="269" t="str">
        <f t="shared" si="3"/>
        <v/>
      </c>
      <c r="AL15" s="116" t="str">
        <f>IFERROR(HLOOKUP(D15,Dados!$K$87:$O$88,2,FALSE),"")</f>
        <v/>
      </c>
    </row>
    <row r="16" spans="1:38" ht="24.9" customHeight="1" x14ac:dyDescent="0.3">
      <c r="A16" s="455"/>
      <c r="B16" s="455"/>
      <c r="C16" s="456"/>
      <c r="D16" s="317"/>
      <c r="E16" s="320"/>
      <c r="F16" s="195"/>
      <c r="G16" s="268">
        <f t="shared" si="0"/>
        <v>0</v>
      </c>
      <c r="H16" s="195"/>
      <c r="I16" s="348" t="str">
        <f t="shared" si="1"/>
        <v/>
      </c>
      <c r="J16" s="268" t="str">
        <f t="shared" si="2"/>
        <v/>
      </c>
      <c r="K16" s="193"/>
      <c r="L16" s="193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G16" s="270" t="str">
        <f t="shared" si="3"/>
        <v/>
      </c>
      <c r="AL16" s="116" t="str">
        <f>IFERROR(HLOOKUP(D16,Dados!$K$87:$O$88,2,FALSE),"")</f>
        <v/>
      </c>
    </row>
    <row r="17" spans="1:38" ht="24.9" customHeight="1" x14ac:dyDescent="0.3">
      <c r="A17" s="457"/>
      <c r="B17" s="457"/>
      <c r="C17" s="458"/>
      <c r="D17" s="316"/>
      <c r="E17" s="319"/>
      <c r="F17" s="196"/>
      <c r="G17" s="213">
        <f t="shared" si="0"/>
        <v>0</v>
      </c>
      <c r="H17" s="196"/>
      <c r="I17" s="347" t="str">
        <f t="shared" si="1"/>
        <v/>
      </c>
      <c r="J17" s="213" t="str">
        <f t="shared" si="2"/>
        <v/>
      </c>
      <c r="K17" s="193"/>
      <c r="L17" s="193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G17" s="269" t="str">
        <f t="shared" si="3"/>
        <v/>
      </c>
      <c r="AL17" s="116" t="str">
        <f>IFERROR(HLOOKUP(D17,Dados!$K$87:$O$88,2,FALSE),"")</f>
        <v/>
      </c>
    </row>
    <row r="18" spans="1:38" ht="24.9" customHeight="1" x14ac:dyDescent="0.3">
      <c r="A18" s="455"/>
      <c r="B18" s="455"/>
      <c r="C18" s="456"/>
      <c r="D18" s="317"/>
      <c r="E18" s="320"/>
      <c r="F18" s="195"/>
      <c r="G18" s="268">
        <f t="shared" si="0"/>
        <v>0</v>
      </c>
      <c r="H18" s="195"/>
      <c r="I18" s="348" t="str">
        <f t="shared" si="1"/>
        <v/>
      </c>
      <c r="J18" s="268" t="str">
        <f t="shared" si="2"/>
        <v/>
      </c>
      <c r="K18" s="193"/>
      <c r="L18" s="193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G18" s="270" t="str">
        <f t="shared" si="3"/>
        <v/>
      </c>
      <c r="AL18" s="116" t="str">
        <f>IFERROR(HLOOKUP(D18,Dados!$K$87:$O$88,2,FALSE),"")</f>
        <v/>
      </c>
    </row>
    <row r="19" spans="1:38" ht="24.9" customHeight="1" x14ac:dyDescent="0.3">
      <c r="A19" s="457"/>
      <c r="B19" s="457"/>
      <c r="C19" s="458"/>
      <c r="D19" s="316"/>
      <c r="E19" s="319"/>
      <c r="F19" s="196"/>
      <c r="G19" s="213">
        <f t="shared" si="0"/>
        <v>0</v>
      </c>
      <c r="H19" s="196"/>
      <c r="I19" s="347" t="str">
        <f t="shared" si="1"/>
        <v/>
      </c>
      <c r="J19" s="213" t="str">
        <f t="shared" si="2"/>
        <v/>
      </c>
      <c r="K19" s="193"/>
      <c r="L19" s="193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G19" s="269" t="str">
        <f t="shared" si="3"/>
        <v/>
      </c>
      <c r="AL19" s="116" t="str">
        <f>IFERROR(HLOOKUP(D19,Dados!$K$87:$O$88,2,FALSE),"")</f>
        <v/>
      </c>
    </row>
    <row r="20" spans="1:38" ht="24.9" customHeight="1" x14ac:dyDescent="0.3">
      <c r="A20" s="455"/>
      <c r="B20" s="455"/>
      <c r="C20" s="456"/>
      <c r="D20" s="317"/>
      <c r="E20" s="320"/>
      <c r="F20" s="195"/>
      <c r="G20" s="268">
        <f t="shared" si="0"/>
        <v>0</v>
      </c>
      <c r="H20" s="195"/>
      <c r="I20" s="348" t="str">
        <f t="shared" si="1"/>
        <v/>
      </c>
      <c r="J20" s="268" t="str">
        <f t="shared" si="2"/>
        <v/>
      </c>
      <c r="K20" s="193"/>
      <c r="L20" s="193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G20" s="270" t="str">
        <f t="shared" si="3"/>
        <v/>
      </c>
      <c r="AL20" s="116" t="str">
        <f>IFERROR(HLOOKUP(D20,Dados!$K$87:$O$88,2,FALSE),"")</f>
        <v/>
      </c>
    </row>
    <row r="21" spans="1:38" ht="24.9" customHeight="1" x14ac:dyDescent="0.3">
      <c r="A21" s="457"/>
      <c r="B21" s="457"/>
      <c r="C21" s="458"/>
      <c r="D21" s="316"/>
      <c r="E21" s="319"/>
      <c r="F21" s="196"/>
      <c r="G21" s="213">
        <f t="shared" si="0"/>
        <v>0</v>
      </c>
      <c r="H21" s="196"/>
      <c r="I21" s="347" t="str">
        <f t="shared" si="1"/>
        <v/>
      </c>
      <c r="J21" s="213" t="str">
        <f t="shared" si="2"/>
        <v/>
      </c>
      <c r="K21" s="193"/>
      <c r="L21" s="193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G21" s="269" t="str">
        <f t="shared" si="3"/>
        <v/>
      </c>
      <c r="AL21" s="116" t="str">
        <f>IFERROR(HLOOKUP(D21,Dados!$K$87:$O$88,2,FALSE),"")</f>
        <v/>
      </c>
    </row>
    <row r="22" spans="1:38" ht="24.9" customHeight="1" x14ac:dyDescent="0.3">
      <c r="A22" s="455"/>
      <c r="B22" s="455"/>
      <c r="C22" s="456"/>
      <c r="D22" s="317"/>
      <c r="E22" s="320"/>
      <c r="F22" s="195"/>
      <c r="G22" s="268">
        <f t="shared" si="0"/>
        <v>0</v>
      </c>
      <c r="H22" s="195"/>
      <c r="I22" s="348" t="str">
        <f t="shared" si="1"/>
        <v/>
      </c>
      <c r="J22" s="268" t="str">
        <f t="shared" si="2"/>
        <v/>
      </c>
      <c r="K22" s="193"/>
      <c r="L22" s="193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G22" s="270" t="str">
        <f t="shared" si="3"/>
        <v/>
      </c>
      <c r="AL22" s="116" t="str">
        <f>IFERROR(HLOOKUP(D22,Dados!$K$87:$O$88,2,FALSE),"")</f>
        <v/>
      </c>
    </row>
    <row r="23" spans="1:38" ht="24.9" customHeight="1" x14ac:dyDescent="0.3">
      <c r="A23" s="468"/>
      <c r="B23" s="468"/>
      <c r="C23" s="469"/>
      <c r="D23" s="316"/>
      <c r="E23" s="319"/>
      <c r="F23" s="196"/>
      <c r="G23" s="213">
        <f t="shared" si="0"/>
        <v>0</v>
      </c>
      <c r="H23" s="196"/>
      <c r="I23" s="347" t="str">
        <f t="shared" si="1"/>
        <v/>
      </c>
      <c r="J23" s="213" t="str">
        <f t="shared" si="2"/>
        <v/>
      </c>
      <c r="K23" s="193"/>
      <c r="L23" s="193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G23" s="269" t="str">
        <f t="shared" si="3"/>
        <v/>
      </c>
      <c r="AL23" s="116" t="str">
        <f>IFERROR(HLOOKUP(D23,Dados!$K$87:$O$88,2,FALSE),"")</f>
        <v/>
      </c>
    </row>
    <row r="24" spans="1:38" ht="15" customHeight="1" x14ac:dyDescent="0.3">
      <c r="A24" s="470"/>
      <c r="B24" s="471"/>
      <c r="C24" s="472"/>
      <c r="D24" s="312"/>
      <c r="E24" s="495">
        <f>IFERROR(SUM(E9:E23),"")</f>
        <v>0</v>
      </c>
      <c r="F24" s="434">
        <f>SUM(F9:F23)</f>
        <v>0</v>
      </c>
      <c r="G24" s="465">
        <f>SUM(G9:G23)</f>
        <v>0</v>
      </c>
      <c r="H24" s="434" t="str">
        <f>IFERROR((E9*H9+E10*H10+E11*H11+E12*H12+E13*H13+E14*H14+E15*H15+E16*H16+E17*H17+E18*H18+E19*H19+E20*H20+E21*H21+E22*H22+E23*H23)/(SUM(E9:E23)),"")</f>
        <v/>
      </c>
      <c r="I24" s="463" t="str">
        <f>C50</f>
        <v/>
      </c>
      <c r="J24" s="465">
        <f>SUM(J9:J23)</f>
        <v>0</v>
      </c>
      <c r="K24" s="193"/>
      <c r="L24" s="193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</row>
    <row r="25" spans="1:38" ht="15" customHeight="1" x14ac:dyDescent="0.3">
      <c r="A25" s="473"/>
      <c r="B25" s="474"/>
      <c r="C25" s="475"/>
      <c r="D25" s="313"/>
      <c r="E25" s="496"/>
      <c r="F25" s="435"/>
      <c r="G25" s="466"/>
      <c r="H25" s="435"/>
      <c r="I25" s="464"/>
      <c r="J25" s="466"/>
      <c r="K25" s="193"/>
      <c r="L25" s="193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</row>
    <row r="26" spans="1:38" ht="15" thickBot="1" x14ac:dyDescent="0.35">
      <c r="A26" s="152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</row>
    <row r="27" spans="1:38" ht="27" customHeight="1" thickTop="1" thickBot="1" x14ac:dyDescent="0.35">
      <c r="A27" s="467" t="s">
        <v>101</v>
      </c>
      <c r="B27" s="467"/>
      <c r="C27" s="467"/>
      <c r="D27" s="467"/>
      <c r="E27" s="467"/>
      <c r="F27" s="467"/>
      <c r="G27" s="467"/>
      <c r="H27" s="467"/>
      <c r="I27" s="467"/>
      <c r="J27" s="467"/>
      <c r="K27" s="467"/>
      <c r="L27" s="467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</row>
    <row r="28" spans="1:38" ht="15" thickTop="1" x14ac:dyDescent="0.3">
      <c r="A28" s="192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</row>
    <row r="29" spans="1:38" ht="27" customHeight="1" x14ac:dyDescent="0.3">
      <c r="A29" s="192"/>
      <c r="B29" s="202" t="s">
        <v>102</v>
      </c>
      <c r="C29" s="203" t="s">
        <v>103</v>
      </c>
      <c r="D29" s="203" t="s">
        <v>104</v>
      </c>
      <c r="E29" s="192"/>
      <c r="F29" s="192"/>
      <c r="G29" s="192"/>
      <c r="H29" s="192"/>
      <c r="I29" s="192"/>
      <c r="J29" s="192"/>
      <c r="K29" s="192"/>
      <c r="L29" s="192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</row>
    <row r="30" spans="1:38" ht="15" customHeight="1" x14ac:dyDescent="0.3">
      <c r="A30" s="192"/>
      <c r="B30" s="437" t="s">
        <v>105</v>
      </c>
      <c r="C30" s="476"/>
      <c r="D30" s="449">
        <f>IFERROR(J24,"")</f>
        <v>0</v>
      </c>
      <c r="E30" s="192"/>
      <c r="F30" s="192"/>
      <c r="G30" s="192"/>
      <c r="H30" s="192"/>
      <c r="I30" s="192"/>
      <c r="J30" s="192"/>
      <c r="K30" s="192"/>
      <c r="L30" s="192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</row>
    <row r="31" spans="1:38" ht="15" customHeight="1" x14ac:dyDescent="0.3">
      <c r="A31" s="192"/>
      <c r="B31" s="437"/>
      <c r="C31" s="476"/>
      <c r="D31" s="449"/>
      <c r="E31" s="192"/>
      <c r="F31" s="192"/>
      <c r="G31" s="192"/>
      <c r="H31" s="192"/>
      <c r="I31" s="192"/>
      <c r="J31" s="192"/>
      <c r="K31" s="192"/>
      <c r="L31" s="192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</row>
    <row r="32" spans="1:38" ht="15" customHeight="1" x14ac:dyDescent="0.3">
      <c r="A32" s="192"/>
      <c r="B32" s="437" t="s">
        <v>106</v>
      </c>
      <c r="C32" s="482">
        <v>0.1125</v>
      </c>
      <c r="D32" s="436">
        <f>IFERROR(D30*C32,"")</f>
        <v>0</v>
      </c>
      <c r="E32" s="192"/>
      <c r="F32" s="192"/>
      <c r="G32" s="192"/>
      <c r="H32" s="192"/>
      <c r="I32" s="192"/>
      <c r="J32" s="192"/>
      <c r="K32" s="192"/>
      <c r="L32" s="192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</row>
    <row r="33" spans="1:29" ht="15" customHeight="1" x14ac:dyDescent="0.3">
      <c r="A33" s="192"/>
      <c r="B33" s="437"/>
      <c r="C33" s="483"/>
      <c r="D33" s="436"/>
      <c r="E33" s="192"/>
      <c r="F33" s="192"/>
      <c r="G33" s="192"/>
      <c r="H33" s="192"/>
      <c r="I33" s="192"/>
      <c r="J33" s="192"/>
      <c r="K33" s="192"/>
      <c r="L33" s="192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</row>
    <row r="34" spans="1:29" ht="15" customHeight="1" x14ac:dyDescent="0.3">
      <c r="A34" s="192"/>
      <c r="B34" s="442" t="s">
        <v>107</v>
      </c>
      <c r="C34" s="480" t="str">
        <f>IFERROR(D34/D30,"")</f>
        <v/>
      </c>
      <c r="D34" s="438">
        <f>F24</f>
        <v>0</v>
      </c>
      <c r="E34" s="192"/>
      <c r="F34" s="192"/>
      <c r="G34" s="192"/>
      <c r="H34" s="192"/>
      <c r="I34" s="192"/>
      <c r="J34" s="192"/>
      <c r="K34" s="192"/>
      <c r="L34" s="192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</row>
    <row r="35" spans="1:29" ht="15" customHeight="1" x14ac:dyDescent="0.3">
      <c r="A35" s="192"/>
      <c r="B35" s="452"/>
      <c r="C35" s="481"/>
      <c r="D35" s="439"/>
      <c r="E35" s="192"/>
      <c r="F35" s="192"/>
      <c r="G35" s="192"/>
      <c r="H35" s="192"/>
      <c r="I35" s="192"/>
      <c r="J35" s="192"/>
      <c r="K35" s="192"/>
      <c r="L35" s="192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</row>
    <row r="36" spans="1:29" ht="15" customHeight="1" x14ac:dyDescent="0.3">
      <c r="A36" s="192"/>
      <c r="B36" s="442" t="s">
        <v>108</v>
      </c>
      <c r="C36" s="450">
        <v>0.16</v>
      </c>
      <c r="D36" s="438">
        <f>IFERROR(D30*C36,"")</f>
        <v>0</v>
      </c>
      <c r="E36" s="192"/>
      <c r="F36" s="192"/>
      <c r="G36" s="192"/>
      <c r="H36" s="192"/>
      <c r="I36" s="192"/>
      <c r="J36" s="192"/>
      <c r="K36" s="192"/>
      <c r="L36" s="192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</row>
    <row r="37" spans="1:29" ht="15" customHeight="1" x14ac:dyDescent="0.3">
      <c r="A37" s="192"/>
      <c r="B37" s="443"/>
      <c r="C37" s="451"/>
      <c r="D37" s="439"/>
      <c r="E37" s="192"/>
      <c r="F37" s="192"/>
      <c r="G37" s="192"/>
      <c r="H37" s="192"/>
      <c r="I37" s="192"/>
      <c r="J37" s="192"/>
      <c r="K37" s="192"/>
      <c r="L37" s="192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</row>
    <row r="38" spans="1:29" ht="15" customHeight="1" x14ac:dyDescent="0.3">
      <c r="A38" s="192"/>
      <c r="B38" s="442" t="s">
        <v>109</v>
      </c>
      <c r="C38" s="461" t="str">
        <f>IFERROR(D38/D30,"")</f>
        <v/>
      </c>
      <c r="D38" s="438">
        <f>IFERROR(G24,"")</f>
        <v>0</v>
      </c>
      <c r="E38" s="192"/>
      <c r="F38" s="192"/>
      <c r="G38" s="192"/>
      <c r="H38" s="192"/>
      <c r="I38" s="192"/>
      <c r="J38" s="192"/>
      <c r="K38" s="192"/>
      <c r="L38" s="192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</row>
    <row r="39" spans="1:29" ht="15" customHeight="1" x14ac:dyDescent="0.3">
      <c r="A39" s="192"/>
      <c r="B39" s="452"/>
      <c r="C39" s="462"/>
      <c r="D39" s="439"/>
      <c r="E39" s="192"/>
      <c r="F39" s="192"/>
      <c r="G39" s="192"/>
      <c r="H39" s="192"/>
      <c r="I39" s="192"/>
      <c r="J39" s="192"/>
      <c r="K39" s="192"/>
      <c r="L39" s="192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</row>
    <row r="40" spans="1:29" ht="15" customHeight="1" x14ac:dyDescent="0.3">
      <c r="A40" s="192"/>
      <c r="B40" s="442" t="s">
        <v>110</v>
      </c>
      <c r="C40" s="446">
        <v>0.08</v>
      </c>
      <c r="D40" s="438">
        <f>IFERROR(($D$30-$D$32)*C40,"")</f>
        <v>0</v>
      </c>
      <c r="E40" s="192"/>
      <c r="F40" s="192"/>
      <c r="G40" s="192"/>
      <c r="H40" s="192"/>
      <c r="I40" s="192"/>
      <c r="J40" s="192"/>
      <c r="K40" s="192"/>
      <c r="L40" s="192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</row>
    <row r="41" spans="1:29" ht="15" customHeight="1" x14ac:dyDescent="0.3">
      <c r="A41" s="192"/>
      <c r="B41" s="452"/>
      <c r="C41" s="447"/>
      <c r="D41" s="439"/>
      <c r="E41" s="192"/>
      <c r="F41" s="192"/>
      <c r="G41" s="192"/>
      <c r="H41" s="192"/>
      <c r="I41" s="192"/>
      <c r="J41" s="192"/>
      <c r="K41" s="192"/>
      <c r="L41" s="192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</row>
    <row r="42" spans="1:29" ht="15" customHeight="1" x14ac:dyDescent="0.3">
      <c r="A42" s="192"/>
      <c r="B42" s="442" t="s">
        <v>111</v>
      </c>
      <c r="C42" s="446">
        <v>0.04</v>
      </c>
      <c r="D42" s="438">
        <f>IFERROR((($D$30-$D$32)*C42),"")</f>
        <v>0</v>
      </c>
      <c r="E42" s="192"/>
      <c r="F42" s="192"/>
      <c r="G42" s="192"/>
      <c r="H42" s="192"/>
      <c r="I42" s="192"/>
      <c r="J42" s="192"/>
      <c r="K42" s="192"/>
      <c r="L42" s="192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</row>
    <row r="43" spans="1:29" ht="15" customHeight="1" x14ac:dyDescent="0.3">
      <c r="A43" s="192"/>
      <c r="B43" s="452"/>
      <c r="C43" s="447"/>
      <c r="D43" s="439"/>
      <c r="E43" s="192"/>
      <c r="F43" s="192"/>
      <c r="G43" s="192"/>
      <c r="H43" s="192"/>
      <c r="I43" s="192"/>
      <c r="J43" s="192"/>
      <c r="K43" s="192"/>
      <c r="L43" s="192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</row>
    <row r="44" spans="1:29" ht="15" customHeight="1" x14ac:dyDescent="0.3">
      <c r="A44" s="192"/>
      <c r="B44" s="442" t="s">
        <v>112</v>
      </c>
      <c r="C44" s="446">
        <v>5.0000000000000001E-3</v>
      </c>
      <c r="D44" s="436">
        <f>IFERROR((D30-D32)*C44,"")</f>
        <v>0</v>
      </c>
      <c r="E44" s="192"/>
      <c r="F44" s="192"/>
      <c r="G44" s="192"/>
      <c r="H44" s="192"/>
      <c r="I44" s="192"/>
      <c r="J44" s="192"/>
      <c r="K44" s="192"/>
      <c r="L44" s="192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</row>
    <row r="45" spans="1:29" ht="15" customHeight="1" x14ac:dyDescent="0.3">
      <c r="A45" s="192"/>
      <c r="B45" s="452"/>
      <c r="C45" s="447"/>
      <c r="D45" s="436"/>
      <c r="E45" s="192"/>
      <c r="F45" s="192"/>
      <c r="G45" s="192"/>
      <c r="H45" s="192"/>
      <c r="I45" s="192"/>
      <c r="J45" s="192"/>
      <c r="K45" s="192"/>
      <c r="L45" s="192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</row>
    <row r="46" spans="1:29" ht="15" customHeight="1" x14ac:dyDescent="0.3">
      <c r="A46" s="192"/>
      <c r="B46" s="442" t="s">
        <v>113</v>
      </c>
      <c r="C46" s="460" t="str">
        <f>IFERROR(D46/D30,"")</f>
        <v/>
      </c>
      <c r="D46" s="448">
        <f>IFERROR(D30-D32-D34-D36-D38-D40-D42-D44,"")</f>
        <v>0</v>
      </c>
      <c r="E46" s="192"/>
      <c r="F46" s="192"/>
      <c r="G46" s="192"/>
      <c r="H46" s="192"/>
      <c r="I46" s="192"/>
      <c r="J46" s="192"/>
      <c r="K46" s="192"/>
      <c r="L46" s="192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</row>
    <row r="47" spans="1:29" ht="15" customHeight="1" x14ac:dyDescent="0.3">
      <c r="A47" s="192"/>
      <c r="B47" s="452"/>
      <c r="C47" s="460"/>
      <c r="D47" s="448"/>
      <c r="E47" s="192"/>
      <c r="F47" s="192"/>
      <c r="G47" s="192"/>
      <c r="H47" s="192"/>
      <c r="I47" s="192"/>
      <c r="J47" s="192"/>
      <c r="K47" s="192"/>
      <c r="L47" s="192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</row>
    <row r="48" spans="1:29" ht="15" customHeight="1" x14ac:dyDescent="0.3">
      <c r="A48" s="192"/>
      <c r="B48" s="442" t="s">
        <v>38</v>
      </c>
      <c r="C48" s="479">
        <v>0.24</v>
      </c>
      <c r="D48" s="436">
        <f>IFERROR((D46*C48),"")</f>
        <v>0</v>
      </c>
      <c r="E48" s="192"/>
      <c r="F48" s="192"/>
      <c r="G48" s="192"/>
      <c r="H48" s="192"/>
      <c r="I48" s="192"/>
      <c r="J48" s="192"/>
      <c r="K48" s="192"/>
      <c r="L48" s="192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</row>
    <row r="49" spans="1:31" ht="15" customHeight="1" x14ac:dyDescent="0.3">
      <c r="A49" s="192"/>
      <c r="B49" s="452"/>
      <c r="C49" s="479"/>
      <c r="D49" s="436"/>
      <c r="E49" s="192"/>
      <c r="F49" s="192"/>
      <c r="G49" s="192"/>
      <c r="H49" s="192"/>
      <c r="I49" s="192"/>
      <c r="J49" s="192"/>
      <c r="K49" s="192"/>
      <c r="L49" s="192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</row>
    <row r="50" spans="1:31" ht="15" customHeight="1" x14ac:dyDescent="0.3">
      <c r="A50" s="192"/>
      <c r="B50" s="442" t="s">
        <v>114</v>
      </c>
      <c r="C50" s="460" t="str">
        <f>IFERROR(D50/D30,"")</f>
        <v/>
      </c>
      <c r="D50" s="448">
        <f>D46-D48</f>
        <v>0</v>
      </c>
      <c r="E50" s="192"/>
      <c r="F50" s="192"/>
      <c r="G50" s="192"/>
      <c r="H50" s="192"/>
      <c r="I50" s="192"/>
      <c r="J50" s="192"/>
      <c r="K50" s="192"/>
      <c r="L50" s="192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</row>
    <row r="51" spans="1:31" ht="15" customHeight="1" x14ac:dyDescent="0.3">
      <c r="A51" s="192"/>
      <c r="B51" s="452"/>
      <c r="C51" s="460"/>
      <c r="D51" s="448"/>
      <c r="E51" s="192"/>
      <c r="F51" s="192"/>
      <c r="G51" s="192"/>
      <c r="H51" s="192"/>
      <c r="I51" s="192"/>
      <c r="J51" s="192"/>
      <c r="K51" s="192"/>
      <c r="L51" s="192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</row>
    <row r="52" spans="1:31" ht="15.75" customHeight="1" x14ac:dyDescent="0.3">
      <c r="A52" s="192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</row>
    <row r="53" spans="1:31" ht="15.75" customHeight="1" thickBot="1" x14ac:dyDescent="0.35">
      <c r="A53" s="192"/>
      <c r="B53" s="192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</row>
    <row r="54" spans="1:31" ht="43.5" customHeight="1" thickTop="1" thickBot="1" x14ac:dyDescent="0.35">
      <c r="A54" s="459" t="s">
        <v>115</v>
      </c>
      <c r="B54" s="459"/>
      <c r="C54" s="459"/>
      <c r="D54" s="459"/>
      <c r="E54" s="459"/>
      <c r="F54" s="459"/>
      <c r="G54" s="459"/>
      <c r="H54" s="459"/>
      <c r="I54" s="459"/>
      <c r="J54" s="459"/>
      <c r="K54" s="459"/>
      <c r="L54" s="15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</row>
    <row r="55" spans="1:31" ht="23.25" customHeight="1" thickTop="1" thickBot="1" x14ac:dyDescent="0.35">
      <c r="A55" s="197"/>
      <c r="B55" s="198"/>
      <c r="C55" s="198"/>
      <c r="D55" s="198"/>
      <c r="E55" s="197"/>
      <c r="F55" s="200"/>
      <c r="G55" s="197"/>
      <c r="H55" s="197"/>
      <c r="I55" s="199"/>
      <c r="J55" s="200"/>
      <c r="K55" s="200"/>
      <c r="L55" s="200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</row>
    <row r="56" spans="1:31" ht="31.8" thickBot="1" x14ac:dyDescent="0.35">
      <c r="A56" s="206" t="s">
        <v>116</v>
      </c>
      <c r="B56" s="207" t="s">
        <v>117</v>
      </c>
      <c r="C56" s="207" t="s">
        <v>118</v>
      </c>
      <c r="D56" s="207" t="s">
        <v>119</v>
      </c>
      <c r="E56" s="208" t="s">
        <v>120</v>
      </c>
      <c r="F56" s="154" t="s">
        <v>121</v>
      </c>
      <c r="G56" s="155" t="s">
        <v>122</v>
      </c>
      <c r="H56" s="155" t="s">
        <v>123</v>
      </c>
      <c r="I56" s="208" t="s">
        <v>124</v>
      </c>
      <c r="J56" s="208" t="s">
        <v>125</v>
      </c>
      <c r="K56" s="154" t="s">
        <v>126</v>
      </c>
      <c r="L56" s="200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</row>
    <row r="57" spans="1:31" ht="24.9" customHeight="1" x14ac:dyDescent="0.3">
      <c r="A57" s="249" t="s">
        <v>127</v>
      </c>
      <c r="B57" s="250" t="s">
        <v>233</v>
      </c>
      <c r="C57" s="250">
        <v>5</v>
      </c>
      <c r="D57" s="259">
        <f>IFERROR(VLOOKUP(A57,Dados!$D$88:$Q$90,VLOOKUP(B57,Dados!$W$88:$Y$90,3,FALSE),FALSE),"")</f>
        <v>68.181818181818201</v>
      </c>
      <c r="E57" s="259">
        <f>IFERROR(C57*D57,0)</f>
        <v>340.90909090909099</v>
      </c>
      <c r="F57" s="251">
        <v>21000</v>
      </c>
      <c r="G57" s="261">
        <v>350</v>
      </c>
      <c r="H57" s="262">
        <f>IFERROR(((G57-D57)/D57),"")</f>
        <v>4.133333333333332</v>
      </c>
      <c r="I57" s="252"/>
      <c r="J57" s="253">
        <v>12</v>
      </c>
      <c r="K57" s="265">
        <v>1750</v>
      </c>
      <c r="L57" s="200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</row>
    <row r="58" spans="1:31" ht="24.9" customHeight="1" thickBot="1" x14ac:dyDescent="0.35">
      <c r="A58" s="233"/>
      <c r="B58" s="234"/>
      <c r="C58" s="234"/>
      <c r="D58" s="235" t="str">
        <f>IFERROR(VLOOKUP(A58,Dados!$D$88:$Q$90,VLOOKUP(B58,Dados!$W$88:$Y$90,3,FALSE),FALSE),"")</f>
        <v/>
      </c>
      <c r="E58" s="235">
        <f t="shared" ref="E58:E66" si="4">IFERROR(C58*D58,0)</f>
        <v>0</v>
      </c>
      <c r="F58" s="236"/>
      <c r="G58" s="237" t="str">
        <f t="shared" ref="G58:G66" si="5">IFERROR((F58/C58),"")</f>
        <v/>
      </c>
      <c r="H58" s="238" t="str">
        <f t="shared" ref="H58:H66" si="6">IFERROR(((G58-D58)/D58),"")</f>
        <v/>
      </c>
      <c r="I58" s="239"/>
      <c r="J58" s="240"/>
      <c r="K58" s="301">
        <f t="shared" ref="K58:K66" si="7">IFERROR(F58/J58,0)</f>
        <v>0</v>
      </c>
      <c r="L58" s="200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E58" s="231"/>
    </row>
    <row r="59" spans="1:31" ht="24.9" customHeight="1" x14ac:dyDescent="0.3">
      <c r="A59" s="254"/>
      <c r="B59" s="255"/>
      <c r="C59" s="255"/>
      <c r="D59" s="260" t="str">
        <f>IFERROR(VLOOKUP(A59,Dados!$D$88:$Q$90,VLOOKUP(B59,Dados!$W$88:$Y$90,3,FALSE),FALSE),"")</f>
        <v/>
      </c>
      <c r="E59" s="260">
        <f t="shared" si="4"/>
        <v>0</v>
      </c>
      <c r="F59" s="256"/>
      <c r="G59" s="263" t="str">
        <f t="shared" si="5"/>
        <v/>
      </c>
      <c r="H59" s="264" t="str">
        <f t="shared" si="6"/>
        <v/>
      </c>
      <c r="I59" s="257"/>
      <c r="J59" s="258"/>
      <c r="K59" s="265">
        <f t="shared" si="7"/>
        <v>0</v>
      </c>
      <c r="L59" s="230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</row>
    <row r="60" spans="1:31" ht="24.9" customHeight="1" thickBot="1" x14ac:dyDescent="0.35">
      <c r="A60" s="233"/>
      <c r="B60" s="234"/>
      <c r="C60" s="234"/>
      <c r="D60" s="235" t="str">
        <f>IFERROR(VLOOKUP(A60,Dados!$D$88:$Q$90,VLOOKUP(B60,Dados!$W$88:$Y$90,3,FALSE),FALSE),"")</f>
        <v/>
      </c>
      <c r="E60" s="235">
        <f t="shared" si="4"/>
        <v>0</v>
      </c>
      <c r="F60" s="236"/>
      <c r="G60" s="237" t="str">
        <f t="shared" si="5"/>
        <v/>
      </c>
      <c r="H60" s="238" t="str">
        <f t="shared" si="6"/>
        <v/>
      </c>
      <c r="I60" s="239"/>
      <c r="J60" s="240"/>
      <c r="K60" s="301">
        <f t="shared" si="7"/>
        <v>0</v>
      </c>
      <c r="L60" s="230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</row>
    <row r="61" spans="1:31" ht="24.9" customHeight="1" x14ac:dyDescent="0.3">
      <c r="A61" s="254"/>
      <c r="B61" s="255"/>
      <c r="C61" s="255"/>
      <c r="D61" s="260" t="str">
        <f>IFERROR(VLOOKUP(A61,Dados!$D$88:$Q$90,VLOOKUP(B61,Dados!$W$88:$Y$90,3,FALSE),FALSE),"")</f>
        <v/>
      </c>
      <c r="E61" s="260">
        <f t="shared" si="4"/>
        <v>0</v>
      </c>
      <c r="F61" s="256"/>
      <c r="G61" s="263" t="str">
        <f t="shared" si="5"/>
        <v/>
      </c>
      <c r="H61" s="264" t="str">
        <f t="shared" si="6"/>
        <v/>
      </c>
      <c r="I61" s="257"/>
      <c r="J61" s="258"/>
      <c r="K61" s="265">
        <f t="shared" si="7"/>
        <v>0</v>
      </c>
      <c r="L61" s="200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</row>
    <row r="62" spans="1:31" ht="24.9" customHeight="1" thickBot="1" x14ac:dyDescent="0.35">
      <c r="A62" s="233"/>
      <c r="B62" s="234"/>
      <c r="C62" s="234"/>
      <c r="D62" s="235" t="str">
        <f>IFERROR(VLOOKUP(A62,Dados!$D$88:$Q$90,VLOOKUP(B62,Dados!$W$88:$Y$90,3,FALSE),FALSE),"")</f>
        <v/>
      </c>
      <c r="E62" s="235">
        <f t="shared" si="4"/>
        <v>0</v>
      </c>
      <c r="F62" s="236"/>
      <c r="G62" s="237" t="str">
        <f t="shared" si="5"/>
        <v/>
      </c>
      <c r="H62" s="238" t="str">
        <f t="shared" si="6"/>
        <v/>
      </c>
      <c r="I62" s="239"/>
      <c r="J62" s="240"/>
      <c r="K62" s="301">
        <f t="shared" si="7"/>
        <v>0</v>
      </c>
      <c r="L62" s="200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</row>
    <row r="63" spans="1:31" ht="24.9" customHeight="1" x14ac:dyDescent="0.3">
      <c r="A63" s="254"/>
      <c r="B63" s="255"/>
      <c r="C63" s="255"/>
      <c r="D63" s="260" t="str">
        <f>IFERROR(VLOOKUP(A63,Dados!$D$88:$Q$90,VLOOKUP(B63,Dados!$W$88:$Y$90,3,FALSE),FALSE),"")</f>
        <v/>
      </c>
      <c r="E63" s="260">
        <f t="shared" si="4"/>
        <v>0</v>
      </c>
      <c r="F63" s="256"/>
      <c r="G63" s="263" t="str">
        <f t="shared" si="5"/>
        <v/>
      </c>
      <c r="H63" s="264" t="str">
        <f t="shared" si="6"/>
        <v/>
      </c>
      <c r="I63" s="257"/>
      <c r="J63" s="258"/>
      <c r="K63" s="265">
        <f t="shared" si="7"/>
        <v>0</v>
      </c>
      <c r="L63" s="200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</row>
    <row r="64" spans="1:31" ht="24.9" customHeight="1" thickBot="1" x14ac:dyDescent="0.35">
      <c r="A64" s="233"/>
      <c r="B64" s="234"/>
      <c r="C64" s="234"/>
      <c r="D64" s="235" t="str">
        <f>IFERROR(VLOOKUP(A64,Dados!$D$88:$Q$90,VLOOKUP(B64,Dados!$W$88:$Y$90,3,FALSE),FALSE),"")</f>
        <v/>
      </c>
      <c r="E64" s="235">
        <f t="shared" si="4"/>
        <v>0</v>
      </c>
      <c r="F64" s="236"/>
      <c r="G64" s="237" t="str">
        <f t="shared" si="5"/>
        <v/>
      </c>
      <c r="H64" s="238" t="str">
        <f t="shared" si="6"/>
        <v/>
      </c>
      <c r="I64" s="239"/>
      <c r="J64" s="240"/>
      <c r="K64" s="301">
        <f t="shared" si="7"/>
        <v>0</v>
      </c>
      <c r="L64" s="200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</row>
    <row r="65" spans="1:29" ht="24.9" customHeight="1" x14ac:dyDescent="0.3">
      <c r="A65" s="254"/>
      <c r="B65" s="255"/>
      <c r="C65" s="255"/>
      <c r="D65" s="260" t="str">
        <f>IFERROR(VLOOKUP(A65,Dados!$D$88:$Q$90,VLOOKUP(B65,Dados!$W$88:$Y$90,3,FALSE),FALSE),"")</f>
        <v/>
      </c>
      <c r="E65" s="260">
        <f t="shared" si="4"/>
        <v>0</v>
      </c>
      <c r="F65" s="256"/>
      <c r="G65" s="263" t="str">
        <f t="shared" si="5"/>
        <v/>
      </c>
      <c r="H65" s="264" t="str">
        <f t="shared" si="6"/>
        <v/>
      </c>
      <c r="I65" s="257"/>
      <c r="J65" s="258"/>
      <c r="K65" s="265">
        <f t="shared" si="7"/>
        <v>0</v>
      </c>
      <c r="L65" s="200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</row>
    <row r="66" spans="1:29" ht="24.9" customHeight="1" thickBot="1" x14ac:dyDescent="0.35">
      <c r="A66" s="241"/>
      <c r="B66" s="242"/>
      <c r="C66" s="242"/>
      <c r="D66" s="243" t="str">
        <f>IFERROR(VLOOKUP(A66,Dados!$D$88:$Q$90,VLOOKUP(B66,Dados!$W$88:$Y$90,3,FALSE),FALSE),"")</f>
        <v/>
      </c>
      <c r="E66" s="243">
        <f t="shared" si="4"/>
        <v>0</v>
      </c>
      <c r="F66" s="244"/>
      <c r="G66" s="245" t="str">
        <f t="shared" si="5"/>
        <v/>
      </c>
      <c r="H66" s="246" t="str">
        <f t="shared" si="6"/>
        <v/>
      </c>
      <c r="I66" s="247"/>
      <c r="J66" s="248"/>
      <c r="K66" s="301">
        <f t="shared" si="7"/>
        <v>0</v>
      </c>
      <c r="L66" s="200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</row>
    <row r="67" spans="1:29" ht="30" customHeight="1" thickBot="1" x14ac:dyDescent="0.35">
      <c r="A67" s="225"/>
      <c r="B67" s="226"/>
      <c r="C67" s="227"/>
      <c r="D67" s="223" t="s">
        <v>128</v>
      </c>
      <c r="E67" s="222">
        <f>SUM(E57:E66)</f>
        <v>340.90909090909099</v>
      </c>
      <c r="F67" s="224">
        <f>SUM(F57:F66)</f>
        <v>21000</v>
      </c>
      <c r="G67" s="228" t="s">
        <v>129</v>
      </c>
      <c r="H67" s="229">
        <f>C94</f>
        <v>0.67449999999999999</v>
      </c>
      <c r="I67" s="232">
        <f>SUM(I57:I66)</f>
        <v>0</v>
      </c>
      <c r="J67" s="221"/>
      <c r="K67" s="222">
        <f>SUM(K57:K66)</f>
        <v>1750</v>
      </c>
      <c r="L67" s="200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</row>
    <row r="68" spans="1:29" ht="15.75" customHeight="1" thickBot="1" x14ac:dyDescent="0.35">
      <c r="A68" s="153"/>
      <c r="B68" s="153"/>
      <c r="C68" s="153"/>
      <c r="D68" s="153"/>
      <c r="E68" s="153"/>
      <c r="F68" s="153"/>
      <c r="G68" s="153"/>
      <c r="H68" s="153"/>
      <c r="I68" s="153"/>
      <c r="J68" s="152"/>
      <c r="K68" s="152"/>
      <c r="L68" s="152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</row>
    <row r="69" spans="1:29" ht="27" customHeight="1" thickTop="1" thickBot="1" x14ac:dyDescent="0.35">
      <c r="A69" s="467" t="s">
        <v>130</v>
      </c>
      <c r="B69" s="467"/>
      <c r="C69" s="467"/>
      <c r="D69" s="467"/>
      <c r="E69" s="467"/>
      <c r="F69" s="467"/>
      <c r="G69" s="467"/>
      <c r="H69" s="467"/>
      <c r="I69" s="467"/>
      <c r="J69" s="467"/>
      <c r="K69" s="467"/>
      <c r="L69" s="151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</row>
    <row r="70" spans="1:29" ht="15.75" customHeight="1" thickTop="1" x14ac:dyDescent="0.3">
      <c r="A70" s="201"/>
      <c r="B70" s="201"/>
      <c r="C70" s="201"/>
      <c r="D70" s="201"/>
      <c r="E70" s="201"/>
      <c r="F70" s="201"/>
      <c r="G70" s="201"/>
      <c r="H70" s="201"/>
      <c r="I70" s="201"/>
      <c r="J70" s="201"/>
      <c r="K70" s="201"/>
      <c r="L70" s="201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</row>
    <row r="71" spans="1:29" ht="35.1" customHeight="1" x14ac:dyDescent="0.3">
      <c r="A71" s="201"/>
      <c r="B71" s="204" t="s">
        <v>102</v>
      </c>
      <c r="C71" s="203" t="s">
        <v>103</v>
      </c>
      <c r="D71" s="205" t="s">
        <v>131</v>
      </c>
      <c r="E71" s="205" t="s">
        <v>132</v>
      </c>
      <c r="F71" s="201"/>
      <c r="G71" s="201"/>
      <c r="H71" s="201"/>
      <c r="I71" s="201"/>
      <c r="J71" s="201"/>
      <c r="K71" s="201"/>
      <c r="L71" s="201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</row>
    <row r="72" spans="1:29" ht="15" customHeight="1" x14ac:dyDescent="0.3">
      <c r="A72" s="201"/>
      <c r="B72" s="444" t="s">
        <v>105</v>
      </c>
      <c r="C72" s="453"/>
      <c r="D72" s="477">
        <f>F67</f>
        <v>21000</v>
      </c>
      <c r="E72" s="477">
        <f>K67</f>
        <v>1750</v>
      </c>
      <c r="F72" s="201"/>
      <c r="G72" s="201"/>
      <c r="H72" s="201"/>
      <c r="I72" s="201"/>
      <c r="J72" s="201"/>
      <c r="K72" s="201"/>
      <c r="L72" s="201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</row>
    <row r="73" spans="1:29" ht="15" customHeight="1" x14ac:dyDescent="0.3">
      <c r="A73" s="201"/>
      <c r="B73" s="445"/>
      <c r="C73" s="454"/>
      <c r="D73" s="478"/>
      <c r="E73" s="478"/>
      <c r="F73" s="201"/>
      <c r="G73" s="201"/>
      <c r="H73" s="201"/>
      <c r="I73" s="201"/>
      <c r="J73" s="201"/>
      <c r="K73" s="201"/>
      <c r="L73" s="201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</row>
    <row r="74" spans="1:29" ht="15" customHeight="1" x14ac:dyDescent="0.3">
      <c r="A74" s="201"/>
      <c r="B74" s="444" t="s">
        <v>106</v>
      </c>
      <c r="C74" s="482">
        <v>0.1125</v>
      </c>
      <c r="D74" s="438">
        <f>IFERROR(C74*D72,"")</f>
        <v>2362.5</v>
      </c>
      <c r="E74" s="438">
        <f>IFERROR(C74*E72,"")</f>
        <v>196.875</v>
      </c>
      <c r="F74" s="372"/>
      <c r="G74" s="201"/>
      <c r="H74" s="201"/>
      <c r="I74" s="201"/>
      <c r="J74" s="201"/>
      <c r="K74" s="201"/>
      <c r="L74" s="201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</row>
    <row r="75" spans="1:29" ht="15" customHeight="1" x14ac:dyDescent="0.3">
      <c r="A75" s="201"/>
      <c r="B75" s="445"/>
      <c r="C75" s="483"/>
      <c r="D75" s="439"/>
      <c r="E75" s="439"/>
      <c r="F75" s="201"/>
      <c r="G75" s="201"/>
      <c r="H75" s="201"/>
      <c r="I75" s="201"/>
      <c r="J75" s="201"/>
      <c r="K75" s="201"/>
      <c r="L75" s="201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</row>
    <row r="76" spans="1:29" ht="15" customHeight="1" x14ac:dyDescent="0.3">
      <c r="A76" s="201"/>
      <c r="B76" s="442" t="s">
        <v>107</v>
      </c>
      <c r="C76" s="480"/>
      <c r="D76" s="438">
        <f>I57</f>
        <v>0</v>
      </c>
      <c r="E76" s="438">
        <f>IFERROR(I57/J57,0)+IFERROR(I58/J58,0)+IFERROR(I59/J59,0)+IFERROR(I60/J60,0)+IFERROR(I61/J61,0)+IFERROR(I62/J62,0)+IFERROR(I63/J63,0)+IFERROR(I64/J64,0)+IFERROR(I65/J65,0)+IFERROR(I66/J66,0)</f>
        <v>0</v>
      </c>
      <c r="F76" s="201"/>
      <c r="G76" s="201"/>
      <c r="H76" s="201"/>
      <c r="I76" s="201"/>
      <c r="J76" s="201"/>
      <c r="K76" s="201"/>
      <c r="L76" s="201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</row>
    <row r="77" spans="1:29" ht="15" customHeight="1" x14ac:dyDescent="0.3">
      <c r="A77" s="201"/>
      <c r="B77" s="452"/>
      <c r="C77" s="481"/>
      <c r="D77" s="439"/>
      <c r="E77" s="439"/>
      <c r="F77" s="201"/>
      <c r="G77" s="201"/>
      <c r="H77" s="201"/>
      <c r="I77" s="201"/>
      <c r="J77" s="201"/>
      <c r="K77" s="201"/>
      <c r="L77" s="201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</row>
    <row r="78" spans="1:29" ht="15" customHeight="1" x14ac:dyDescent="0.3">
      <c r="A78" s="201"/>
      <c r="B78" s="444" t="s">
        <v>108</v>
      </c>
      <c r="C78" s="492"/>
      <c r="D78" s="438"/>
      <c r="E78" s="438">
        <f>C78*E72</f>
        <v>0</v>
      </c>
      <c r="F78" s="201"/>
      <c r="G78" s="201"/>
      <c r="H78" s="201"/>
      <c r="I78" s="201"/>
      <c r="J78" s="201"/>
      <c r="K78" s="201"/>
      <c r="L78" s="201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</row>
    <row r="79" spans="1:29" ht="15" customHeight="1" x14ac:dyDescent="0.3">
      <c r="A79" s="201"/>
      <c r="B79" s="445"/>
      <c r="C79" s="493"/>
      <c r="D79" s="439"/>
      <c r="E79" s="439"/>
      <c r="F79" s="201"/>
      <c r="G79" s="201"/>
      <c r="H79" s="201"/>
      <c r="I79" s="201"/>
      <c r="J79" s="201"/>
      <c r="K79" s="201"/>
      <c r="L79" s="201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</row>
    <row r="80" spans="1:29" ht="15" customHeight="1" x14ac:dyDescent="0.3">
      <c r="A80" s="201"/>
      <c r="B80" s="444" t="s">
        <v>133</v>
      </c>
      <c r="C80" s="480"/>
      <c r="D80" s="438"/>
      <c r="E80" s="438"/>
      <c r="F80" s="201"/>
      <c r="G80" s="201"/>
      <c r="H80" s="201"/>
      <c r="I80" s="201"/>
      <c r="J80" s="201"/>
      <c r="K80" s="201"/>
      <c r="L80" s="201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</row>
    <row r="81" spans="1:29" ht="15" customHeight="1" x14ac:dyDescent="0.3">
      <c r="A81" s="201"/>
      <c r="B81" s="445"/>
      <c r="C81" s="481"/>
      <c r="D81" s="439"/>
      <c r="E81" s="439"/>
      <c r="F81" s="201"/>
      <c r="G81" s="201"/>
      <c r="H81" s="201"/>
      <c r="I81" s="201"/>
      <c r="J81" s="201"/>
      <c r="K81" s="201"/>
      <c r="L81" s="201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</row>
    <row r="82" spans="1:29" ht="15" customHeight="1" x14ac:dyDescent="0.3">
      <c r="A82" s="201"/>
      <c r="B82" s="444" t="s">
        <v>110</v>
      </c>
      <c r="C82" s="446"/>
      <c r="D82" s="438"/>
      <c r="E82" s="438">
        <f>IFERROR(($E$72-$E$74)*C82,"")</f>
        <v>0</v>
      </c>
      <c r="F82" s="201"/>
      <c r="G82" s="201"/>
      <c r="H82" s="201"/>
      <c r="I82" s="201"/>
      <c r="J82" s="201"/>
      <c r="K82" s="201"/>
      <c r="L82" s="201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</row>
    <row r="83" spans="1:29" ht="15" customHeight="1" x14ac:dyDescent="0.3">
      <c r="A83" s="201"/>
      <c r="B83" s="445"/>
      <c r="C83" s="447"/>
      <c r="D83" s="439"/>
      <c r="E83" s="439"/>
      <c r="F83" s="201"/>
      <c r="G83" s="201"/>
      <c r="H83" s="201"/>
      <c r="I83" s="201"/>
      <c r="J83" s="201"/>
      <c r="K83" s="201"/>
      <c r="L83" s="201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</row>
    <row r="84" spans="1:29" ht="15" customHeight="1" x14ac:dyDescent="0.3">
      <c r="A84" s="201"/>
      <c r="B84" s="444" t="s">
        <v>134</v>
      </c>
      <c r="C84" s="446"/>
      <c r="D84" s="436"/>
      <c r="E84" s="438">
        <f>IFERROR(($E$72-$E$74)*C84,"")</f>
        <v>0</v>
      </c>
      <c r="F84" s="201"/>
      <c r="G84" s="201"/>
      <c r="H84" s="201"/>
      <c r="I84" s="201"/>
      <c r="J84" s="201"/>
      <c r="K84" s="201"/>
      <c r="L84" s="201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</row>
    <row r="85" spans="1:29" ht="15" customHeight="1" x14ac:dyDescent="0.3">
      <c r="A85" s="201"/>
      <c r="B85" s="445"/>
      <c r="C85" s="447"/>
      <c r="D85" s="436"/>
      <c r="E85" s="439"/>
      <c r="F85" s="201"/>
      <c r="G85" s="201"/>
      <c r="H85" s="201"/>
      <c r="I85" s="201"/>
      <c r="J85" s="201"/>
      <c r="K85" s="201"/>
      <c r="L85" s="201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</row>
    <row r="86" spans="1:29" ht="15" customHeight="1" x14ac:dyDescent="0.3">
      <c r="A86" s="201"/>
      <c r="B86" s="442" t="s">
        <v>112</v>
      </c>
      <c r="C86" s="446"/>
      <c r="D86" s="438"/>
      <c r="E86" s="438">
        <f>IFERROR(($E$72-$E$74)*C86,"")</f>
        <v>0</v>
      </c>
      <c r="F86" s="201"/>
      <c r="G86" s="201"/>
      <c r="H86" s="201"/>
      <c r="I86" s="201"/>
      <c r="J86" s="201"/>
      <c r="K86" s="201"/>
      <c r="L86" s="201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</row>
    <row r="87" spans="1:29" ht="15" customHeight="1" x14ac:dyDescent="0.3">
      <c r="A87" s="201"/>
      <c r="B87" s="443"/>
      <c r="C87" s="447"/>
      <c r="D87" s="439"/>
      <c r="E87" s="439"/>
      <c r="F87" s="201"/>
      <c r="G87" s="201"/>
      <c r="H87" s="201"/>
      <c r="I87" s="201"/>
      <c r="J87" s="201"/>
      <c r="K87" s="201"/>
      <c r="L87" s="201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</row>
    <row r="88" spans="1:29" ht="15" hidden="1" customHeight="1" x14ac:dyDescent="0.3">
      <c r="A88" s="201"/>
      <c r="B88" s="444" t="s">
        <v>135</v>
      </c>
      <c r="C88" s="446"/>
      <c r="D88" s="438">
        <f>IFERROR(($D$72-$D$74-$D$80-$D$78)*C88,"")</f>
        <v>0</v>
      </c>
      <c r="E88" s="438">
        <f t="shared" ref="E88" si="8">IFERROR(($E$72-$E$74-$E$80-$E$78)*C88,"")</f>
        <v>0</v>
      </c>
      <c r="F88" s="201"/>
      <c r="G88" s="201"/>
      <c r="H88" s="201"/>
      <c r="I88" s="201"/>
      <c r="J88" s="201"/>
      <c r="K88" s="201"/>
      <c r="L88" s="201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</row>
    <row r="89" spans="1:29" ht="15" hidden="1" customHeight="1" x14ac:dyDescent="0.3">
      <c r="A89" s="201"/>
      <c r="B89" s="445"/>
      <c r="C89" s="447"/>
      <c r="D89" s="439"/>
      <c r="E89" s="439"/>
      <c r="F89" s="201"/>
      <c r="G89" s="201"/>
      <c r="H89" s="201"/>
      <c r="I89" s="201"/>
      <c r="J89" s="201"/>
      <c r="K89" s="201"/>
      <c r="L89" s="201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</row>
    <row r="90" spans="1:29" ht="15" customHeight="1" x14ac:dyDescent="0.3">
      <c r="A90" s="201"/>
      <c r="B90" s="444" t="s">
        <v>136</v>
      </c>
      <c r="C90" s="490">
        <f>IFERROR(E90/E72,"")</f>
        <v>0.88749999999999996</v>
      </c>
      <c r="D90" s="440">
        <f>IFERROR(D72-D74-D80-D82-D84-D86-D78-D76-D88,"")</f>
        <v>18637.5</v>
      </c>
      <c r="E90" s="440">
        <f>IFERROR(E72-E74-E78-E80-E82-E84-E86-E88-E76,"")</f>
        <v>1553.125</v>
      </c>
      <c r="F90" s="201"/>
      <c r="G90" s="201"/>
      <c r="H90" s="201"/>
      <c r="I90" s="201"/>
      <c r="J90" s="201"/>
      <c r="K90" s="201"/>
      <c r="L90" s="201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</row>
    <row r="91" spans="1:29" ht="15" customHeight="1" x14ac:dyDescent="0.3">
      <c r="A91" s="201"/>
      <c r="B91" s="445"/>
      <c r="C91" s="491"/>
      <c r="D91" s="441"/>
      <c r="E91" s="441"/>
      <c r="F91" s="201"/>
      <c r="G91" s="201"/>
      <c r="H91" s="201"/>
      <c r="I91" s="201"/>
      <c r="J91" s="201"/>
      <c r="K91" s="201"/>
      <c r="L91" s="201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</row>
    <row r="92" spans="1:29" ht="15" customHeight="1" x14ac:dyDescent="0.3">
      <c r="A92" s="201"/>
      <c r="B92" s="442" t="s">
        <v>38</v>
      </c>
      <c r="C92" s="450">
        <v>0.24</v>
      </c>
      <c r="D92" s="438">
        <f>IFERROR((D90*C92),"")</f>
        <v>4473</v>
      </c>
      <c r="E92" s="438">
        <f>IFERROR((E90*C92),"")</f>
        <v>372.75</v>
      </c>
      <c r="F92" s="372"/>
      <c r="G92" s="201"/>
      <c r="H92" s="201"/>
      <c r="I92" s="201"/>
      <c r="J92" s="201"/>
      <c r="K92" s="201"/>
      <c r="L92" s="201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</row>
    <row r="93" spans="1:29" ht="15" customHeight="1" x14ac:dyDescent="0.3">
      <c r="A93" s="201"/>
      <c r="B93" s="452"/>
      <c r="C93" s="451"/>
      <c r="D93" s="439"/>
      <c r="E93" s="439"/>
      <c r="F93" s="201"/>
      <c r="G93" s="201"/>
      <c r="H93" s="201"/>
      <c r="I93" s="201"/>
      <c r="J93" s="201"/>
      <c r="K93" s="201"/>
      <c r="L93" s="201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</row>
    <row r="94" spans="1:29" ht="15" customHeight="1" x14ac:dyDescent="0.3">
      <c r="A94" s="201"/>
      <c r="B94" s="442" t="s">
        <v>114</v>
      </c>
      <c r="C94" s="500">
        <f>IFERROR(E94/E72,"")</f>
        <v>0.67449999999999999</v>
      </c>
      <c r="D94" s="502">
        <f>IFERROR(D90-D92,"")</f>
        <v>14164.5</v>
      </c>
      <c r="E94" s="440">
        <f>IFERROR(E90-E92,"")</f>
        <v>1180.375</v>
      </c>
      <c r="F94" s="372"/>
      <c r="G94" s="201"/>
      <c r="H94" s="201"/>
      <c r="I94" s="201"/>
      <c r="J94" s="201"/>
      <c r="K94" s="201"/>
      <c r="L94" s="201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</row>
    <row r="95" spans="1:29" ht="15" customHeight="1" x14ac:dyDescent="0.3">
      <c r="A95" s="201"/>
      <c r="B95" s="452"/>
      <c r="C95" s="501"/>
      <c r="D95" s="503"/>
      <c r="E95" s="441"/>
      <c r="F95" s="201"/>
      <c r="G95" s="201"/>
      <c r="H95" s="201"/>
      <c r="I95" s="201"/>
      <c r="J95" s="201"/>
      <c r="K95" s="201"/>
      <c r="L95" s="201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</row>
    <row r="96" spans="1:29" ht="15.75" customHeight="1" x14ac:dyDescent="0.3">
      <c r="A96" s="201"/>
      <c r="B96" s="201"/>
      <c r="C96" s="201"/>
      <c r="D96" s="201"/>
      <c r="E96" s="201"/>
      <c r="F96" s="201"/>
      <c r="G96" s="201"/>
      <c r="H96" s="201"/>
      <c r="I96" s="201"/>
      <c r="J96" s="201"/>
      <c r="K96" s="201"/>
      <c r="L96" s="201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</row>
    <row r="97" spans="1:29" ht="15.75" customHeight="1" x14ac:dyDescent="0.3">
      <c r="A97" s="201"/>
      <c r="B97" s="201"/>
      <c r="C97" s="201"/>
      <c r="D97" s="201"/>
      <c r="E97" s="201"/>
      <c r="F97" s="201"/>
      <c r="G97" s="201"/>
      <c r="H97" s="171"/>
      <c r="I97" s="201"/>
      <c r="J97" s="201"/>
      <c r="K97" s="201"/>
      <c r="L97" s="201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</row>
    <row r="98" spans="1:29" x14ac:dyDescent="0.3">
      <c r="A98" s="201"/>
      <c r="B98" s="201"/>
      <c r="C98" s="201"/>
      <c r="D98" s="201"/>
      <c r="E98" s="201"/>
      <c r="F98" s="201"/>
      <c r="G98" s="201"/>
      <c r="H98" s="171"/>
      <c r="I98" s="201"/>
      <c r="J98" s="201"/>
      <c r="K98" s="201"/>
      <c r="L98" s="201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</row>
    <row r="99" spans="1:29" ht="15.75" customHeight="1" x14ac:dyDescent="0.3">
      <c r="A99" s="484" t="s">
        <v>137</v>
      </c>
      <c r="B99" s="484"/>
      <c r="C99" s="484"/>
      <c r="D99" s="484"/>
      <c r="E99" s="484"/>
      <c r="F99" s="484"/>
      <c r="G99" s="484"/>
      <c r="H99" s="484"/>
      <c r="I99" s="484"/>
      <c r="J99" s="484"/>
      <c r="K99" s="484"/>
      <c r="L99" s="149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</row>
    <row r="100" spans="1:29" ht="24" customHeight="1" x14ac:dyDescent="0.3">
      <c r="A100" s="484"/>
      <c r="B100" s="484"/>
      <c r="C100" s="484"/>
      <c r="D100" s="484"/>
      <c r="E100" s="484"/>
      <c r="F100" s="484"/>
      <c r="G100" s="484"/>
      <c r="H100" s="484"/>
      <c r="I100" s="484"/>
      <c r="J100" s="484"/>
      <c r="K100" s="484"/>
      <c r="L100" s="149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</row>
    <row r="101" spans="1:29" ht="15" thickBot="1" x14ac:dyDescent="0.35">
      <c r="A101" s="171"/>
      <c r="B101" s="171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</row>
    <row r="102" spans="1:29" ht="16.5" customHeight="1" thickTop="1" thickBot="1" x14ac:dyDescent="0.35">
      <c r="A102" s="171"/>
      <c r="B102" s="485" t="s">
        <v>138</v>
      </c>
      <c r="C102" s="487">
        <f>D46</f>
        <v>0</v>
      </c>
      <c r="D102" s="171"/>
      <c r="E102" s="171"/>
      <c r="F102" s="171"/>
      <c r="G102" s="171"/>
      <c r="H102" s="171"/>
      <c r="I102" s="171"/>
      <c r="J102" s="171"/>
      <c r="K102" s="171"/>
      <c r="L102" s="171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</row>
    <row r="103" spans="1:29" ht="16.5" customHeight="1" thickTop="1" thickBot="1" x14ac:dyDescent="0.35">
      <c r="A103" s="171"/>
      <c r="B103" s="485"/>
      <c r="C103" s="487"/>
      <c r="D103" s="171"/>
      <c r="E103" s="171"/>
      <c r="F103" s="171"/>
      <c r="G103" s="171"/>
      <c r="H103" s="171"/>
      <c r="I103" s="171"/>
      <c r="J103" s="171"/>
      <c r="K103" s="171"/>
      <c r="L103" s="171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</row>
    <row r="104" spans="1:29" ht="15.6" thickTop="1" thickBot="1" x14ac:dyDescent="0.35">
      <c r="A104" s="171"/>
      <c r="B104" s="485" t="s">
        <v>139</v>
      </c>
      <c r="C104" s="487">
        <f>E94</f>
        <v>1180.375</v>
      </c>
      <c r="D104" s="171"/>
      <c r="E104" s="171"/>
      <c r="F104" s="171"/>
      <c r="G104" s="171"/>
      <c r="H104" s="171"/>
      <c r="I104" s="171"/>
      <c r="J104" s="171"/>
      <c r="K104" s="171"/>
      <c r="L104" s="171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</row>
    <row r="105" spans="1:29" ht="15.6" thickTop="1" thickBot="1" x14ac:dyDescent="0.35">
      <c r="A105" s="171"/>
      <c r="B105" s="485"/>
      <c r="C105" s="487"/>
      <c r="D105" s="171"/>
      <c r="E105" s="171"/>
      <c r="F105" s="171"/>
      <c r="G105" s="171"/>
      <c r="H105" s="171"/>
      <c r="I105" s="171"/>
      <c r="J105" s="171"/>
      <c r="K105" s="171"/>
      <c r="L105" s="171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</row>
    <row r="106" spans="1:29" ht="15" thickTop="1" x14ac:dyDescent="0.3">
      <c r="A106" s="171"/>
      <c r="B106" s="486" t="s">
        <v>140</v>
      </c>
      <c r="C106" s="488">
        <f>SUM(C102:C105)</f>
        <v>1180.375</v>
      </c>
      <c r="D106" s="171"/>
      <c r="E106" s="171"/>
      <c r="F106" s="171"/>
      <c r="G106" s="171"/>
      <c r="H106" s="171"/>
      <c r="I106" s="171"/>
      <c r="J106" s="171"/>
      <c r="K106" s="171"/>
      <c r="L106" s="171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</row>
    <row r="107" spans="1:29" x14ac:dyDescent="0.3">
      <c r="A107" s="171"/>
      <c r="B107" s="486"/>
      <c r="C107" s="489"/>
      <c r="D107" s="171"/>
      <c r="E107" s="171"/>
      <c r="F107" s="171"/>
      <c r="G107" s="171"/>
      <c r="H107" s="171"/>
      <c r="I107" s="171"/>
      <c r="J107" s="171"/>
      <c r="K107" s="171"/>
      <c r="L107" s="171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</row>
    <row r="108" spans="1:29" x14ac:dyDescent="0.3">
      <c r="A108" s="171"/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</row>
    <row r="109" spans="1:29" x14ac:dyDescent="0.3"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</row>
    <row r="110" spans="1:29" x14ac:dyDescent="0.3"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</row>
    <row r="111" spans="1:29" x14ac:dyDescent="0.3"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  <c r="X111" s="116"/>
      <c r="Y111" s="116"/>
      <c r="Z111" s="116"/>
      <c r="AA111" s="116"/>
      <c r="AB111" s="116"/>
      <c r="AC111" s="116"/>
    </row>
    <row r="112" spans="1:29" x14ac:dyDescent="0.3"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</row>
    <row r="113" spans="14:29" x14ac:dyDescent="0.3"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</row>
    <row r="114" spans="14:29" x14ac:dyDescent="0.3"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</row>
    <row r="115" spans="14:29" x14ac:dyDescent="0.3"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</row>
    <row r="116" spans="14:29" x14ac:dyDescent="0.3"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</row>
    <row r="117" spans="14:29" x14ac:dyDescent="0.3"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</row>
    <row r="138" spans="16:28" x14ac:dyDescent="0.3">
      <c r="P138" s="127"/>
      <c r="Q138" s="127"/>
    </row>
    <row r="139" spans="16:28" x14ac:dyDescent="0.3">
      <c r="Q139" s="126"/>
    </row>
    <row r="140" spans="16:28" x14ac:dyDescent="0.3">
      <c r="P140" s="126"/>
      <c r="Q140" s="125"/>
    </row>
    <row r="141" spans="16:28" x14ac:dyDescent="0.3">
      <c r="P141" s="126"/>
      <c r="Q141" s="126"/>
    </row>
    <row r="142" spans="16:28" x14ac:dyDescent="0.3">
      <c r="P142" s="126"/>
      <c r="Q142" s="126"/>
    </row>
    <row r="143" spans="16:28" x14ac:dyDescent="0.3">
      <c r="P143" s="126"/>
      <c r="Q143" s="126"/>
    </row>
    <row r="144" spans="16:28" x14ac:dyDescent="0.3">
      <c r="P144" s="143" t="s">
        <v>141</v>
      </c>
      <c r="Q144" s="143" t="s">
        <v>142</v>
      </c>
      <c r="R144" s="148" t="s">
        <v>143</v>
      </c>
      <c r="S144" s="145" t="s">
        <v>144</v>
      </c>
      <c r="T144" s="145" t="s">
        <v>145</v>
      </c>
      <c r="U144" s="145" t="s">
        <v>146</v>
      </c>
      <c r="V144" s="145" t="s">
        <v>147</v>
      </c>
      <c r="W144" s="145" t="s">
        <v>148</v>
      </c>
      <c r="X144" s="145" t="s">
        <v>149</v>
      </c>
      <c r="Y144" s="145" t="s">
        <v>150</v>
      </c>
      <c r="Z144" s="145" t="s">
        <v>151</v>
      </c>
      <c r="AA144" s="147" t="s">
        <v>152</v>
      </c>
      <c r="AB144" s="147"/>
    </row>
    <row r="145" spans="15:27" x14ac:dyDescent="0.3">
      <c r="O145" s="117" t="s">
        <v>153</v>
      </c>
      <c r="P145" s="143" t="s">
        <v>154</v>
      </c>
      <c r="Q145" s="143" t="e">
        <f>#REF!</f>
        <v>#REF!</v>
      </c>
      <c r="R145" s="144" t="e">
        <f>Dados!#REF!</f>
        <v>#REF!</v>
      </c>
      <c r="S145" s="144" t="e">
        <f>Dados!#REF!</f>
        <v>#REF!</v>
      </c>
      <c r="T145" s="144" t="e">
        <f>Dados!#REF!</f>
        <v>#REF!</v>
      </c>
      <c r="U145" s="144" t="e">
        <f>Dados!#REF!</f>
        <v>#REF!</v>
      </c>
      <c r="V145" s="143" t="e">
        <f t="shared" ref="V145:V152" si="9">Q145*(1-R145-S145-T145-U145)</f>
        <v>#REF!</v>
      </c>
      <c r="W145" s="142" t="e">
        <f>#REF!</f>
        <v>#REF!</v>
      </c>
      <c r="X145" s="141" t="e">
        <f t="shared" ref="X145:X152" si="10">V145/(1-W145)</f>
        <v>#REF!</v>
      </c>
      <c r="Y145" s="141" t="e">
        <f t="shared" ref="Y145:Y152" si="11">X145/(1-R145-S145-T145-U145)</f>
        <v>#REF!</v>
      </c>
      <c r="Z145" s="141" t="e">
        <f t="shared" ref="Z145:Z152" si="12">X145*W145</f>
        <v>#REF!</v>
      </c>
      <c r="AA145" s="146" t="e">
        <f>Z145+Z147+Z149+Z151</f>
        <v>#REF!</v>
      </c>
    </row>
    <row r="146" spans="15:27" x14ac:dyDescent="0.3">
      <c r="O146" s="117" t="s">
        <v>155</v>
      </c>
      <c r="P146" s="143" t="s">
        <v>154</v>
      </c>
      <c r="Q146" s="143" t="e">
        <f>#REF!</f>
        <v>#REF!</v>
      </c>
      <c r="R146" s="144" t="e">
        <f>Dados!#REF!</f>
        <v>#REF!</v>
      </c>
      <c r="S146" s="144" t="e">
        <f>Dados!#REF!</f>
        <v>#REF!</v>
      </c>
      <c r="T146" s="144" t="e">
        <f>Dados!#REF!</f>
        <v>#REF!</v>
      </c>
      <c r="U146" s="144" t="e">
        <f>Dados!#REF!</f>
        <v>#REF!</v>
      </c>
      <c r="V146" s="143" t="e">
        <f t="shared" si="9"/>
        <v>#REF!</v>
      </c>
      <c r="W146" s="142" t="e">
        <f>#REF!</f>
        <v>#REF!</v>
      </c>
      <c r="X146" s="141" t="e">
        <f t="shared" si="10"/>
        <v>#REF!</v>
      </c>
      <c r="Y146" s="141" t="e">
        <f t="shared" si="11"/>
        <v>#REF!</v>
      </c>
      <c r="Z146" s="141" t="e">
        <f t="shared" si="12"/>
        <v>#REF!</v>
      </c>
      <c r="AA146" s="146" t="e">
        <f>Z146+Z148+Z150+Z152</f>
        <v>#REF!</v>
      </c>
    </row>
    <row r="147" spans="15:27" x14ac:dyDescent="0.3">
      <c r="O147" s="117" t="s">
        <v>153</v>
      </c>
      <c r="P147" s="143" t="s">
        <v>156</v>
      </c>
      <c r="Q147" s="143" t="e">
        <f>#REF!</f>
        <v>#REF!</v>
      </c>
      <c r="R147" s="144" t="e">
        <f>Dados!#REF!</f>
        <v>#REF!</v>
      </c>
      <c r="S147" s="144" t="e">
        <f>Dados!#REF!</f>
        <v>#REF!</v>
      </c>
      <c r="T147" s="144" t="e">
        <f>Dados!#REF!</f>
        <v>#REF!</v>
      </c>
      <c r="U147" s="144" t="e">
        <f>Dados!#REF!</f>
        <v>#REF!</v>
      </c>
      <c r="V147" s="143" t="e">
        <f t="shared" si="9"/>
        <v>#REF!</v>
      </c>
      <c r="W147" s="142" t="e">
        <f>#REF!</f>
        <v>#REF!</v>
      </c>
      <c r="X147" s="141" t="e">
        <f t="shared" si="10"/>
        <v>#REF!</v>
      </c>
      <c r="Y147" s="141" t="e">
        <f t="shared" si="11"/>
        <v>#REF!</v>
      </c>
      <c r="Z147" s="141" t="e">
        <f t="shared" si="12"/>
        <v>#REF!</v>
      </c>
    </row>
    <row r="148" spans="15:27" x14ac:dyDescent="0.3">
      <c r="O148" s="117" t="s">
        <v>155</v>
      </c>
      <c r="P148" s="143" t="s">
        <v>156</v>
      </c>
      <c r="Q148" s="143" t="e">
        <f>#REF!</f>
        <v>#REF!</v>
      </c>
      <c r="R148" s="144" t="e">
        <f>Dados!#REF!</f>
        <v>#REF!</v>
      </c>
      <c r="S148" s="144" t="e">
        <f>Dados!#REF!</f>
        <v>#REF!</v>
      </c>
      <c r="T148" s="144" t="e">
        <f>Dados!#REF!</f>
        <v>#REF!</v>
      </c>
      <c r="U148" s="144" t="e">
        <f>Dados!#REF!</f>
        <v>#REF!</v>
      </c>
      <c r="V148" s="143" t="e">
        <f t="shared" si="9"/>
        <v>#REF!</v>
      </c>
      <c r="W148" s="142" t="e">
        <f>#REF!</f>
        <v>#REF!</v>
      </c>
      <c r="X148" s="141" t="e">
        <f t="shared" si="10"/>
        <v>#REF!</v>
      </c>
      <c r="Y148" s="141" t="e">
        <f t="shared" si="11"/>
        <v>#REF!</v>
      </c>
      <c r="Z148" s="141" t="e">
        <f t="shared" si="12"/>
        <v>#REF!</v>
      </c>
    </row>
    <row r="149" spans="15:27" x14ac:dyDescent="0.3">
      <c r="O149" s="117" t="s">
        <v>153</v>
      </c>
      <c r="P149" s="145" t="s">
        <v>157</v>
      </c>
      <c r="Q149" s="143" t="e">
        <f>#REF!</f>
        <v>#REF!</v>
      </c>
      <c r="R149" s="144" t="e">
        <f>Dados!#REF!</f>
        <v>#REF!</v>
      </c>
      <c r="S149" s="144" t="e">
        <f>Dados!#REF!</f>
        <v>#REF!</v>
      </c>
      <c r="T149" s="144" t="e">
        <f>Dados!#REF!</f>
        <v>#REF!</v>
      </c>
      <c r="U149" s="144" t="e">
        <f>Dados!#REF!</f>
        <v>#REF!</v>
      </c>
      <c r="V149" s="143" t="e">
        <f t="shared" si="9"/>
        <v>#REF!</v>
      </c>
      <c r="W149" s="142" t="e">
        <f>#REF!</f>
        <v>#REF!</v>
      </c>
      <c r="X149" s="141" t="e">
        <f t="shared" si="10"/>
        <v>#REF!</v>
      </c>
      <c r="Y149" s="141" t="e">
        <f t="shared" si="11"/>
        <v>#REF!</v>
      </c>
      <c r="Z149" s="141" t="e">
        <f t="shared" si="12"/>
        <v>#REF!</v>
      </c>
    </row>
    <row r="150" spans="15:27" x14ac:dyDescent="0.3">
      <c r="O150" s="117" t="s">
        <v>155</v>
      </c>
      <c r="P150" s="145" t="s">
        <v>157</v>
      </c>
      <c r="Q150" s="143" t="e">
        <f>#REF!</f>
        <v>#REF!</v>
      </c>
      <c r="R150" s="144" t="e">
        <f>Dados!#REF!</f>
        <v>#REF!</v>
      </c>
      <c r="S150" s="144" t="e">
        <f>Dados!#REF!</f>
        <v>#REF!</v>
      </c>
      <c r="T150" s="144" t="e">
        <f>Dados!#REF!</f>
        <v>#REF!</v>
      </c>
      <c r="U150" s="144" t="e">
        <f>Dados!#REF!</f>
        <v>#REF!</v>
      </c>
      <c r="V150" s="143" t="e">
        <f t="shared" si="9"/>
        <v>#REF!</v>
      </c>
      <c r="W150" s="142" t="e">
        <f>#REF!</f>
        <v>#REF!</v>
      </c>
      <c r="X150" s="141" t="e">
        <f t="shared" si="10"/>
        <v>#REF!</v>
      </c>
      <c r="Y150" s="141" t="e">
        <f t="shared" si="11"/>
        <v>#REF!</v>
      </c>
      <c r="Z150" s="141" t="e">
        <f t="shared" si="12"/>
        <v>#REF!</v>
      </c>
    </row>
    <row r="151" spans="15:27" x14ac:dyDescent="0.3">
      <c r="O151" s="117" t="s">
        <v>153</v>
      </c>
      <c r="P151" s="143" t="s">
        <v>158</v>
      </c>
      <c r="Q151" s="143" t="e">
        <f>#REF!</f>
        <v>#REF!</v>
      </c>
      <c r="R151" s="144" t="e">
        <f>Dados!#REF!</f>
        <v>#REF!</v>
      </c>
      <c r="S151" s="144" t="e">
        <f>Dados!#REF!</f>
        <v>#REF!</v>
      </c>
      <c r="T151" s="144" t="e">
        <f>Dados!#REF!</f>
        <v>#REF!</v>
      </c>
      <c r="U151" s="144" t="e">
        <f>Dados!#REF!</f>
        <v>#REF!</v>
      </c>
      <c r="V151" s="143" t="e">
        <f t="shared" si="9"/>
        <v>#REF!</v>
      </c>
      <c r="W151" s="142" t="e">
        <f>#REF!</f>
        <v>#REF!</v>
      </c>
      <c r="X151" s="141" t="e">
        <f t="shared" si="10"/>
        <v>#REF!</v>
      </c>
      <c r="Y151" s="141" t="e">
        <f t="shared" si="11"/>
        <v>#REF!</v>
      </c>
      <c r="Z151" s="141" t="e">
        <f t="shared" si="12"/>
        <v>#REF!</v>
      </c>
    </row>
    <row r="152" spans="15:27" x14ac:dyDescent="0.3">
      <c r="O152" s="117" t="s">
        <v>155</v>
      </c>
      <c r="P152" s="143" t="s">
        <v>158</v>
      </c>
      <c r="Q152" s="143" t="e">
        <f>#REF!</f>
        <v>#REF!</v>
      </c>
      <c r="R152" s="144" t="e">
        <f>Dados!#REF!</f>
        <v>#REF!</v>
      </c>
      <c r="S152" s="144" t="e">
        <f>Dados!#REF!</f>
        <v>#REF!</v>
      </c>
      <c r="T152" s="144" t="e">
        <f>Dados!#REF!</f>
        <v>#REF!</v>
      </c>
      <c r="U152" s="144" t="e">
        <f>Dados!#REF!</f>
        <v>#REF!</v>
      </c>
      <c r="V152" s="143" t="e">
        <f t="shared" si="9"/>
        <v>#REF!</v>
      </c>
      <c r="W152" s="142" t="e">
        <f>#REF!</f>
        <v>#REF!</v>
      </c>
      <c r="X152" s="141" t="e">
        <f t="shared" si="10"/>
        <v>#REF!</v>
      </c>
      <c r="Y152" s="141" t="e">
        <f t="shared" si="11"/>
        <v>#REF!</v>
      </c>
      <c r="Z152" s="141" t="e">
        <f t="shared" si="12"/>
        <v>#REF!</v>
      </c>
    </row>
    <row r="155" spans="15:27" x14ac:dyDescent="0.3">
      <c r="O155" s="117" t="s">
        <v>159</v>
      </c>
      <c r="P155" s="133"/>
      <c r="R155" s="133"/>
    </row>
    <row r="157" spans="15:27" x14ac:dyDescent="0.3">
      <c r="O157" s="117" t="s">
        <v>153</v>
      </c>
      <c r="P157" s="140" t="str">
        <f>IFERROR(Y145+Y147+Y149+Y151,"")</f>
        <v/>
      </c>
      <c r="Q157" s="139" t="str">
        <f>IFERROR(X145+X147+X149+X151,"")</f>
        <v/>
      </c>
      <c r="R157" s="139" t="str">
        <f>IFERROR(P157-Q157,"")</f>
        <v/>
      </c>
    </row>
    <row r="158" spans="15:27" x14ac:dyDescent="0.3">
      <c r="O158" s="117" t="s">
        <v>155</v>
      </c>
      <c r="P158" s="140" t="str">
        <f>IFERROR(Y146+Y148+Y150+Y152,"")</f>
        <v/>
      </c>
      <c r="Q158" s="139" t="str">
        <f>IFERROR(X146+X148+X150+X152,"")</f>
        <v/>
      </c>
      <c r="R158" s="139" t="str">
        <f>IFERROR(P158-Q158,"")</f>
        <v/>
      </c>
    </row>
    <row r="165" spans="16:25" x14ac:dyDescent="0.3">
      <c r="V165" s="132"/>
      <c r="W165" s="138" t="s">
        <v>160</v>
      </c>
      <c r="X165" s="130"/>
      <c r="Y165" s="126"/>
    </row>
    <row r="166" spans="16:25" x14ac:dyDescent="0.3">
      <c r="V166" s="123" t="s">
        <v>154</v>
      </c>
      <c r="W166" s="126" t="e">
        <f>#REF!-#REF!*R145-#REF!*S145-#REF!*T145-#REF!*U145</f>
        <v>#REF!</v>
      </c>
      <c r="X166" s="136" t="e">
        <f>W166-V145</f>
        <v>#REF!</v>
      </c>
      <c r="Y166" s="137" t="str">
        <f>IFERROR(1-(V145/W166),"")</f>
        <v/>
      </c>
    </row>
    <row r="167" spans="16:25" x14ac:dyDescent="0.3">
      <c r="V167" s="123" t="s">
        <v>161</v>
      </c>
      <c r="W167" s="126" t="e">
        <f>#REF!-#REF!*R147-#REF!*S147-#REF!*T147-#REF!*U147</f>
        <v>#REF!</v>
      </c>
      <c r="X167" s="136" t="e">
        <f>W167-V147</f>
        <v>#REF!</v>
      </c>
      <c r="Y167" s="137" t="str">
        <f>IFERROR(1-(V147/W167),"")</f>
        <v/>
      </c>
    </row>
    <row r="168" spans="16:25" x14ac:dyDescent="0.3">
      <c r="V168" s="123" t="s">
        <v>162</v>
      </c>
      <c r="W168" s="126" t="e">
        <f>#REF!-#REF!*R149-#REF!*S149-#REF!*T149-#REF!*U149</f>
        <v>#REF!</v>
      </c>
      <c r="X168" s="136" t="e">
        <f>W168-V149</f>
        <v>#REF!</v>
      </c>
      <c r="Y168" s="137" t="str">
        <f>IFERROR(1-(V149/W168),"")</f>
        <v/>
      </c>
    </row>
    <row r="169" spans="16:25" x14ac:dyDescent="0.3">
      <c r="V169" s="123" t="s">
        <v>158</v>
      </c>
      <c r="W169" s="126" t="e">
        <f>#REF!-#REF!*R151-#REF!*S151-#REF!*T151-#REF!*U151</f>
        <v>#REF!</v>
      </c>
      <c r="X169" s="136" t="e">
        <f>W169-V151</f>
        <v>#REF!</v>
      </c>
      <c r="Y169" s="137" t="str">
        <f>IFERROR(1-(V151/W169),"")</f>
        <v/>
      </c>
    </row>
    <row r="170" spans="16:25" x14ac:dyDescent="0.3">
      <c r="V170" s="123"/>
      <c r="X170" s="122"/>
    </row>
    <row r="171" spans="16:25" x14ac:dyDescent="0.3">
      <c r="V171" s="123"/>
      <c r="X171" s="122"/>
    </row>
    <row r="172" spans="16:25" x14ac:dyDescent="0.3">
      <c r="P172" s="126"/>
      <c r="V172" s="123"/>
      <c r="W172" s="117" t="s">
        <v>163</v>
      </c>
      <c r="X172" s="136" t="e">
        <f>SUM(#REF!)</f>
        <v>#REF!</v>
      </c>
      <c r="Y172" s="117" t="str">
        <f>IFERROR(W178/X172,"")</f>
        <v/>
      </c>
    </row>
    <row r="173" spans="16:25" x14ac:dyDescent="0.3">
      <c r="P173" s="126"/>
      <c r="V173" s="123"/>
      <c r="W173" s="126" t="str">
        <f>IFERROR(#REF!*#REF!,"")</f>
        <v/>
      </c>
      <c r="X173" s="122"/>
      <c r="Y173" s="126"/>
    </row>
    <row r="174" spans="16:25" x14ac:dyDescent="0.3">
      <c r="P174" s="126"/>
      <c r="V174" s="123"/>
      <c r="W174" s="126" t="str">
        <f>IFERROR(#REF!*#REF!,"")</f>
        <v/>
      </c>
      <c r="X174" s="122"/>
    </row>
    <row r="175" spans="16:25" x14ac:dyDescent="0.3">
      <c r="P175" s="126"/>
      <c r="V175" s="123"/>
      <c r="W175" s="126" t="str">
        <f>IFERROR(#REF!*#REF!,"")</f>
        <v/>
      </c>
      <c r="X175" s="122"/>
    </row>
    <row r="176" spans="16:25" x14ac:dyDescent="0.3">
      <c r="V176" s="123"/>
      <c r="W176" s="126" t="str">
        <f>IFERROR(#REF!*#REF!,"")</f>
        <v/>
      </c>
      <c r="X176" s="122"/>
    </row>
    <row r="177" spans="16:24" x14ac:dyDescent="0.3">
      <c r="V177" s="123"/>
      <c r="X177" s="122"/>
    </row>
    <row r="178" spans="16:24" x14ac:dyDescent="0.3">
      <c r="V178" s="123"/>
      <c r="W178" s="126">
        <f>SUM(W173:W176)</f>
        <v>0</v>
      </c>
      <c r="X178" s="122"/>
    </row>
    <row r="179" spans="16:24" x14ac:dyDescent="0.3">
      <c r="V179" s="121"/>
      <c r="W179" s="135"/>
      <c r="X179" s="119"/>
    </row>
    <row r="180" spans="16:24" x14ac:dyDescent="0.3">
      <c r="P180" s="132" t="s">
        <v>164</v>
      </c>
      <c r="Q180" s="131" t="s">
        <v>165</v>
      </c>
      <c r="R180" s="131"/>
      <c r="S180" s="131"/>
      <c r="T180" s="130"/>
      <c r="W180" s="126"/>
    </row>
    <row r="181" spans="16:24" x14ac:dyDescent="0.3">
      <c r="P181" s="134" t="e">
        <f>1-#REF!</f>
        <v>#REF!</v>
      </c>
      <c r="R181" s="133" t="e">
        <f>1-#REF!-#REF!-#REF!-#REF!</f>
        <v>#REF!</v>
      </c>
      <c r="T181" s="122"/>
    </row>
    <row r="182" spans="16:24" x14ac:dyDescent="0.3">
      <c r="P182" s="124" t="e">
        <f>#REF!/$P$181</f>
        <v>#REF!</v>
      </c>
      <c r="R182" s="126" t="e">
        <f t="shared" ref="R182:R188" si="13">P182/$R$181</f>
        <v>#REF!</v>
      </c>
      <c r="T182" s="122"/>
    </row>
    <row r="183" spans="16:24" x14ac:dyDescent="0.3">
      <c r="P183" s="124" t="e">
        <f>#REF!/$P$181</f>
        <v>#REF!</v>
      </c>
      <c r="R183" s="126" t="e">
        <f t="shared" si="13"/>
        <v>#REF!</v>
      </c>
      <c r="T183" s="122"/>
    </row>
    <row r="184" spans="16:24" x14ac:dyDescent="0.3">
      <c r="P184" s="124" t="e">
        <f>#REF!/$P$181</f>
        <v>#REF!</v>
      </c>
      <c r="R184" s="126" t="e">
        <f t="shared" si="13"/>
        <v>#REF!</v>
      </c>
      <c r="T184" s="122"/>
    </row>
    <row r="185" spans="16:24" x14ac:dyDescent="0.3">
      <c r="P185" s="124" t="e">
        <f>#REF!/$P$181</f>
        <v>#REF!</v>
      </c>
      <c r="R185" s="126" t="e">
        <f t="shared" si="13"/>
        <v>#REF!</v>
      </c>
      <c r="T185" s="122"/>
    </row>
    <row r="186" spans="16:24" x14ac:dyDescent="0.3">
      <c r="P186" s="124" t="e">
        <f>#REF!/$P$181</f>
        <v>#REF!</v>
      </c>
      <c r="R186" s="126" t="e">
        <f t="shared" si="13"/>
        <v>#REF!</v>
      </c>
      <c r="T186" s="122"/>
    </row>
    <row r="187" spans="16:24" x14ac:dyDescent="0.3">
      <c r="P187" s="124" t="e">
        <f>#REF!/$P$181</f>
        <v>#REF!</v>
      </c>
      <c r="R187" s="126" t="e">
        <f t="shared" si="13"/>
        <v>#REF!</v>
      </c>
      <c r="T187" s="122"/>
    </row>
    <row r="188" spans="16:24" x14ac:dyDescent="0.3">
      <c r="P188" s="124" t="e">
        <f>#REF!/$P$181</f>
        <v>#REF!</v>
      </c>
      <c r="R188" s="126" t="e">
        <f t="shared" si="13"/>
        <v>#REF!</v>
      </c>
      <c r="T188" s="122"/>
    </row>
    <row r="189" spans="16:24" x14ac:dyDescent="0.3">
      <c r="P189" s="123"/>
      <c r="T189" s="122"/>
    </row>
    <row r="190" spans="16:24" x14ac:dyDescent="0.3">
      <c r="P190" s="123"/>
      <c r="R190" s="126" t="e">
        <f>SUM(R182:R188)</f>
        <v>#REF!</v>
      </c>
      <c r="T190" s="122"/>
    </row>
    <row r="191" spans="16:24" x14ac:dyDescent="0.3">
      <c r="P191" s="123"/>
      <c r="T191" s="122"/>
    </row>
    <row r="192" spans="16:24" x14ac:dyDescent="0.3">
      <c r="P192" s="123"/>
      <c r="T192" s="122"/>
    </row>
    <row r="193" spans="16:20" x14ac:dyDescent="0.3">
      <c r="P193" s="124" t="e">
        <f>P182*#REF!</f>
        <v>#REF!</v>
      </c>
      <c r="T193" s="122"/>
    </row>
    <row r="194" spans="16:20" x14ac:dyDescent="0.3">
      <c r="P194" s="124" t="e">
        <f>P183*#REF!</f>
        <v>#REF!</v>
      </c>
      <c r="T194" s="122"/>
    </row>
    <row r="195" spans="16:20" x14ac:dyDescent="0.3">
      <c r="P195" s="124" t="e">
        <f>P184*#REF!</f>
        <v>#REF!</v>
      </c>
      <c r="T195" s="122"/>
    </row>
    <row r="196" spans="16:20" x14ac:dyDescent="0.3">
      <c r="P196" s="124" t="e">
        <f>P185*#REF!</f>
        <v>#REF!</v>
      </c>
      <c r="T196" s="122"/>
    </row>
    <row r="197" spans="16:20" x14ac:dyDescent="0.3">
      <c r="P197" s="124" t="e">
        <f>P186*#REF!</f>
        <v>#REF!</v>
      </c>
      <c r="T197" s="122"/>
    </row>
    <row r="198" spans="16:20" x14ac:dyDescent="0.3">
      <c r="P198" s="124" t="e">
        <f>P187*#REF!</f>
        <v>#REF!</v>
      </c>
      <c r="T198" s="122"/>
    </row>
    <row r="199" spans="16:20" x14ac:dyDescent="0.3">
      <c r="P199" s="124" t="e">
        <f>P188*#REF!</f>
        <v>#REF!</v>
      </c>
      <c r="T199" s="122"/>
    </row>
    <row r="200" spans="16:20" x14ac:dyDescent="0.3">
      <c r="P200" s="121"/>
      <c r="Q200" s="120"/>
      <c r="R200" s="120"/>
      <c r="S200" s="120"/>
      <c r="T200" s="119"/>
    </row>
    <row r="204" spans="16:20" x14ac:dyDescent="0.3">
      <c r="P204" s="132" t="s">
        <v>160</v>
      </c>
      <c r="Q204" s="131"/>
      <c r="R204" s="131"/>
      <c r="S204" s="130"/>
    </row>
    <row r="205" spans="16:20" x14ac:dyDescent="0.3">
      <c r="P205" s="124" t="e">
        <f>#REF!-#REF!*#REF!-#REF!*#REF!-#REF!*#REF!-#REF!*#REF!</f>
        <v>#REF!</v>
      </c>
      <c r="Q205" s="126" t="e">
        <f>P205-#REF!</f>
        <v>#REF!</v>
      </c>
      <c r="R205" s="129" t="str">
        <f t="shared" ref="R205:R211" si="14">IFERROR(Q205/P205,"")</f>
        <v/>
      </c>
      <c r="S205" s="122"/>
    </row>
    <row r="206" spans="16:20" x14ac:dyDescent="0.3">
      <c r="P206" s="124" t="e">
        <f>#REF!-#REF!*#REF!-#REF!*#REF!-#REF!*#REF!-#REF!*#REF!</f>
        <v>#REF!</v>
      </c>
      <c r="Q206" s="126" t="e">
        <f>P206-#REF!</f>
        <v>#REF!</v>
      </c>
      <c r="R206" s="129" t="str">
        <f t="shared" si="14"/>
        <v/>
      </c>
      <c r="S206" s="122"/>
    </row>
    <row r="207" spans="16:20" x14ac:dyDescent="0.3">
      <c r="P207" s="124" t="e">
        <f>#REF!-#REF!*#REF!-#REF!*#REF!-#REF!*#REF!-#REF!*#REF!</f>
        <v>#REF!</v>
      </c>
      <c r="Q207" s="126" t="e">
        <f>P207-#REF!</f>
        <v>#REF!</v>
      </c>
      <c r="R207" s="129" t="str">
        <f t="shared" si="14"/>
        <v/>
      </c>
      <c r="S207" s="122"/>
    </row>
    <row r="208" spans="16:20" x14ac:dyDescent="0.3">
      <c r="P208" s="124" t="e">
        <f>#REF!-#REF!*#REF!-#REF!*#REF!-#REF!*#REF!-#REF!*#REF!</f>
        <v>#REF!</v>
      </c>
      <c r="Q208" s="126" t="e">
        <f>P208-#REF!</f>
        <v>#REF!</v>
      </c>
      <c r="R208" s="129" t="str">
        <f t="shared" si="14"/>
        <v/>
      </c>
      <c r="S208" s="122"/>
    </row>
    <row r="209" spans="16:19" x14ac:dyDescent="0.3">
      <c r="P209" s="124" t="e">
        <f>#REF!-#REF!*#REF!-#REF!*#REF!-#REF!*#REF!-#REF!*#REF!</f>
        <v>#REF!</v>
      </c>
      <c r="Q209" s="126" t="e">
        <f>P209-#REF!</f>
        <v>#REF!</v>
      </c>
      <c r="R209" s="129" t="str">
        <f t="shared" si="14"/>
        <v/>
      </c>
      <c r="S209" s="122"/>
    </row>
    <row r="210" spans="16:19" x14ac:dyDescent="0.3">
      <c r="P210" s="124" t="e">
        <f>#REF!-#REF!*#REF!-#REF!*#REF!-#REF!*#REF!-#REF!*#REF!</f>
        <v>#REF!</v>
      </c>
      <c r="Q210" s="126" t="e">
        <f>P210-#REF!</f>
        <v>#REF!</v>
      </c>
      <c r="R210" s="129" t="str">
        <f t="shared" si="14"/>
        <v/>
      </c>
      <c r="S210" s="122"/>
    </row>
    <row r="211" spans="16:19" x14ac:dyDescent="0.3">
      <c r="P211" s="124" t="e">
        <f>#REF!-#REF!*#REF!-#REF!*#REF!-#REF!*#REF!-#REF!*#REF!</f>
        <v>#REF!</v>
      </c>
      <c r="Q211" s="126" t="e">
        <f>P211-#REF!</f>
        <v>#REF!</v>
      </c>
      <c r="R211" s="129" t="str">
        <f t="shared" si="14"/>
        <v/>
      </c>
      <c r="S211" s="122"/>
    </row>
    <row r="212" spans="16:19" x14ac:dyDescent="0.3">
      <c r="P212" s="123"/>
      <c r="R212" s="117" t="str">
        <f>IFERROR(Q210/P210,"")</f>
        <v/>
      </c>
      <c r="S212" s="122"/>
    </row>
    <row r="213" spans="16:19" x14ac:dyDescent="0.3">
      <c r="P213" s="123"/>
      <c r="R213" s="117" t="str">
        <f>IFERROR(Q211/P211,"")</f>
        <v/>
      </c>
      <c r="S213" s="122"/>
    </row>
    <row r="214" spans="16:19" x14ac:dyDescent="0.3">
      <c r="P214" s="128" t="s">
        <v>163</v>
      </c>
      <c r="Q214" s="127"/>
      <c r="S214" s="122"/>
    </row>
    <row r="215" spans="16:19" x14ac:dyDescent="0.3">
      <c r="P215" s="123"/>
      <c r="Q215" s="126" t="e">
        <f>SUM(#REF!)</f>
        <v>#REF!</v>
      </c>
      <c r="S215" s="122"/>
    </row>
    <row r="216" spans="16:19" x14ac:dyDescent="0.3">
      <c r="P216" s="124" t="str">
        <f>IFERROR(#REF!*#REF!,"")</f>
        <v/>
      </c>
      <c r="Q216" s="125" t="str">
        <f>IFERROR(P225/Q215,"")</f>
        <v/>
      </c>
      <c r="S216" s="122"/>
    </row>
    <row r="217" spans="16:19" x14ac:dyDescent="0.3">
      <c r="P217" s="123"/>
      <c r="S217" s="122"/>
    </row>
    <row r="218" spans="16:19" x14ac:dyDescent="0.3">
      <c r="P218" s="123"/>
      <c r="S218" s="122"/>
    </row>
    <row r="219" spans="16:19" x14ac:dyDescent="0.3">
      <c r="P219" s="124" t="str">
        <f>IFERROR(#REF!*#REF!,"")</f>
        <v/>
      </c>
      <c r="S219" s="122"/>
    </row>
    <row r="220" spans="16:19" x14ac:dyDescent="0.3">
      <c r="P220" s="124" t="str">
        <f>IFERROR(#REF!*#REF!,"")</f>
        <v/>
      </c>
      <c r="S220" s="122"/>
    </row>
    <row r="221" spans="16:19" x14ac:dyDescent="0.3">
      <c r="P221" s="124" t="str">
        <f>IFERROR(#REF!*#REF!,"")</f>
        <v/>
      </c>
      <c r="S221" s="122"/>
    </row>
    <row r="222" spans="16:19" x14ac:dyDescent="0.3">
      <c r="P222" s="124" t="str">
        <f>IFERROR(#REF!*#REF!,"")</f>
        <v/>
      </c>
      <c r="S222" s="122"/>
    </row>
    <row r="223" spans="16:19" x14ac:dyDescent="0.3">
      <c r="P223" s="124" t="str">
        <f>IFERROR(#REF!*#REF!,"")</f>
        <v/>
      </c>
      <c r="S223" s="122"/>
    </row>
    <row r="224" spans="16:19" x14ac:dyDescent="0.3">
      <c r="P224" s="124" t="str">
        <f>IFERROR(#REF!*#REF!,"")</f>
        <v/>
      </c>
      <c r="S224" s="122"/>
    </row>
    <row r="225" spans="16:19" x14ac:dyDescent="0.3">
      <c r="P225" s="124">
        <f>SUM(P216:P224)</f>
        <v>0</v>
      </c>
      <c r="S225" s="122"/>
    </row>
    <row r="226" spans="16:19" x14ac:dyDescent="0.3">
      <c r="P226" s="123"/>
      <c r="S226" s="122"/>
    </row>
    <row r="227" spans="16:19" x14ac:dyDescent="0.3">
      <c r="P227" s="123"/>
      <c r="S227" s="122"/>
    </row>
    <row r="228" spans="16:19" x14ac:dyDescent="0.3">
      <c r="P228" s="123"/>
      <c r="S228" s="122"/>
    </row>
    <row r="229" spans="16:19" x14ac:dyDescent="0.3">
      <c r="P229" s="123"/>
      <c r="S229" s="122"/>
    </row>
    <row r="230" spans="16:19" x14ac:dyDescent="0.3">
      <c r="P230" s="123"/>
      <c r="S230" s="122"/>
    </row>
    <row r="231" spans="16:19" x14ac:dyDescent="0.3">
      <c r="P231" s="123"/>
      <c r="S231" s="122"/>
    </row>
    <row r="232" spans="16:19" x14ac:dyDescent="0.3">
      <c r="P232" s="123"/>
      <c r="S232" s="122"/>
    </row>
    <row r="233" spans="16:19" x14ac:dyDescent="0.3">
      <c r="P233" s="123"/>
      <c r="S233" s="122"/>
    </row>
    <row r="234" spans="16:19" x14ac:dyDescent="0.3">
      <c r="P234" s="123"/>
      <c r="S234" s="122"/>
    </row>
    <row r="235" spans="16:19" x14ac:dyDescent="0.3">
      <c r="P235" s="121"/>
      <c r="Q235" s="120"/>
      <c r="R235" s="120"/>
      <c r="S235" s="119"/>
    </row>
  </sheetData>
  <mergeCells count="116">
    <mergeCell ref="D78:D79"/>
    <mergeCell ref="E78:E79"/>
    <mergeCell ref="C78:C79"/>
    <mergeCell ref="E94:E95"/>
    <mergeCell ref="E92:E93"/>
    <mergeCell ref="A1:L4"/>
    <mergeCell ref="A15:C15"/>
    <mergeCell ref="E24:E25"/>
    <mergeCell ref="A9:C9"/>
    <mergeCell ref="A8:C8"/>
    <mergeCell ref="A20:C20"/>
    <mergeCell ref="G24:G25"/>
    <mergeCell ref="F24:F25"/>
    <mergeCell ref="B92:B93"/>
    <mergeCell ref="C92:C93"/>
    <mergeCell ref="D92:D93"/>
    <mergeCell ref="B94:B95"/>
    <mergeCell ref="C94:C95"/>
    <mergeCell ref="D94:D95"/>
    <mergeCell ref="C34:C35"/>
    <mergeCell ref="D34:D35"/>
    <mergeCell ref="B38:B39"/>
    <mergeCell ref="B32:B33"/>
    <mergeCell ref="D90:D91"/>
    <mergeCell ref="B104:B105"/>
    <mergeCell ref="B106:B107"/>
    <mergeCell ref="C102:C103"/>
    <mergeCell ref="C104:C105"/>
    <mergeCell ref="C106:C107"/>
    <mergeCell ref="B74:B75"/>
    <mergeCell ref="B78:B79"/>
    <mergeCell ref="C74:C75"/>
    <mergeCell ref="C50:C51"/>
    <mergeCell ref="C90:C91"/>
    <mergeCell ref="B102:B103"/>
    <mergeCell ref="B82:B83"/>
    <mergeCell ref="C80:C81"/>
    <mergeCell ref="D80:D81"/>
    <mergeCell ref="C84:C85"/>
    <mergeCell ref="D84:D85"/>
    <mergeCell ref="B80:B81"/>
    <mergeCell ref="B84:B85"/>
    <mergeCell ref="C82:C83"/>
    <mergeCell ref="D82:D83"/>
    <mergeCell ref="A99:K100"/>
    <mergeCell ref="B90:B91"/>
    <mergeCell ref="E82:E83"/>
    <mergeCell ref="D72:D73"/>
    <mergeCell ref="B72:B73"/>
    <mergeCell ref="E72:E73"/>
    <mergeCell ref="A69:K69"/>
    <mergeCell ref="B50:B51"/>
    <mergeCell ref="C48:C49"/>
    <mergeCell ref="A54:K54"/>
    <mergeCell ref="E76:E77"/>
    <mergeCell ref="D32:D33"/>
    <mergeCell ref="B34:B35"/>
    <mergeCell ref="B46:B47"/>
    <mergeCell ref="B40:B41"/>
    <mergeCell ref="D74:D75"/>
    <mergeCell ref="B76:B77"/>
    <mergeCell ref="C76:C77"/>
    <mergeCell ref="D76:D77"/>
    <mergeCell ref="B48:B49"/>
    <mergeCell ref="C32:C33"/>
    <mergeCell ref="C40:C41"/>
    <mergeCell ref="B44:B45"/>
    <mergeCell ref="E74:E75"/>
    <mergeCell ref="A10:C10"/>
    <mergeCell ref="A11:C11"/>
    <mergeCell ref="A12:C12"/>
    <mergeCell ref="A13:C13"/>
    <mergeCell ref="A14:C14"/>
    <mergeCell ref="A6:K6"/>
    <mergeCell ref="C46:C47"/>
    <mergeCell ref="C38:C39"/>
    <mergeCell ref="D38:D39"/>
    <mergeCell ref="D46:D47"/>
    <mergeCell ref="D40:D41"/>
    <mergeCell ref="I24:I25"/>
    <mergeCell ref="J24:J25"/>
    <mergeCell ref="A27:L27"/>
    <mergeCell ref="A16:C16"/>
    <mergeCell ref="A17:C17"/>
    <mergeCell ref="A18:C18"/>
    <mergeCell ref="A19:C19"/>
    <mergeCell ref="A21:C21"/>
    <mergeCell ref="A22:C22"/>
    <mergeCell ref="A23:C23"/>
    <mergeCell ref="A24:C25"/>
    <mergeCell ref="C44:C45"/>
    <mergeCell ref="C30:C31"/>
    <mergeCell ref="H24:H25"/>
    <mergeCell ref="D44:D45"/>
    <mergeCell ref="B30:B31"/>
    <mergeCell ref="E84:E85"/>
    <mergeCell ref="E90:E91"/>
    <mergeCell ref="B86:B87"/>
    <mergeCell ref="B88:B89"/>
    <mergeCell ref="C86:C87"/>
    <mergeCell ref="C88:C89"/>
    <mergeCell ref="D86:D87"/>
    <mergeCell ref="D88:D89"/>
    <mergeCell ref="E86:E87"/>
    <mergeCell ref="E88:E89"/>
    <mergeCell ref="D48:D49"/>
    <mergeCell ref="D50:D51"/>
    <mergeCell ref="E80:E81"/>
    <mergeCell ref="D30:D31"/>
    <mergeCell ref="B36:B37"/>
    <mergeCell ref="C36:C37"/>
    <mergeCell ref="D36:D37"/>
    <mergeCell ref="B42:B43"/>
    <mergeCell ref="C42:C43"/>
    <mergeCell ref="D42:D43"/>
    <mergeCell ref="C72:C73"/>
  </mergeCells>
  <phoneticPr fontId="41" type="noConversion"/>
  <dataValidations count="5">
    <dataValidation type="list" allowBlank="1" showInputMessage="1" showErrorMessage="1" sqref="A57:A66" xr:uid="{00000000-0002-0000-0800-000000000000}">
      <formula1>"8 horas/5 dias,24 horas/5 dias,24 horas/7 dias"</formula1>
    </dataValidation>
    <dataValidation type="decimal" allowBlank="1" showErrorMessage="1" errorTitle="Preenchimento errado!" error="Os valores devem variar entre 24% e 34%." promptTitle="Preenchimento errado!" prompt="O preenchimento deve variar entre 24% e 34%." sqref="C48:C49" xr:uid="{00000000-0002-0000-0800-000001000000}">
      <formula1>0.24</formula1>
      <formula2>0.34</formula2>
    </dataValidation>
    <dataValidation type="whole" allowBlank="1" showInputMessage="1" showErrorMessage="1" sqref="C57:C67" xr:uid="{00000000-0002-0000-0800-000002000000}">
      <formula1>0</formula1>
      <formula2>1000000000</formula2>
    </dataValidation>
    <dataValidation operator="greaterThanOrEqual" allowBlank="1" showInputMessage="1" showErrorMessage="1" errorTitle="Preenchimento errado" error="Deve ser preenchido somente o número de horas mensais." sqref="B67" xr:uid="{00000000-0002-0000-0800-000003000000}"/>
    <dataValidation type="decimal" allowBlank="1" showInputMessage="1" showErrorMessage="1" errorTitle="Preenchimento errado." error="Somente números positivos." sqref="AG9:AG23 I9:J23" xr:uid="{00000000-0002-0000-0800-000004000000}">
      <formula1>0</formula1>
      <formula2>1000000000</formula2>
    </dataValidation>
  </dataValidations>
  <pageMargins left="0.78740157480314965" right="0" top="0.78740157480314965" bottom="0" header="0" footer="0"/>
  <pageSetup paperSize="5" scale="33" orientation="portrait" horizontalDpi="4294967293" verticalDpi="4294967293" r:id="rId1"/>
  <ignoredErrors>
    <ignoredError sqref="F67 AG9:AG18 AG19:AG23 D34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Preenchimento errado" error="Deve ser preenchido somente o número de horas mensais." xr:uid="{00000000-0002-0000-0800-000005000000}">
          <x14:formula1>
            <xm:f>Dados!$W$88:$W$90</xm:f>
          </x14:formula1>
          <xm:sqref>B57:B66</xm:sqref>
        </x14:dataValidation>
        <x14:dataValidation type="list" allowBlank="1" showInputMessage="1" showErrorMessage="1" xr:uid="{42AB13B5-4099-4D3F-87C9-E13B2F34B748}">
          <x14:formula1>
            <xm:f>Dados!$W$88:$W$90</xm:f>
          </x14:formula1>
          <xm:sqref>D9:D23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theme="4" tint="-0.499984740745262"/>
  </sheetPr>
  <dimension ref="E5:L66"/>
  <sheetViews>
    <sheetView zoomScale="70" zoomScaleNormal="70" workbookViewId="0">
      <selection activeCell="G59" sqref="G59"/>
    </sheetView>
  </sheetViews>
  <sheetFormatPr defaultColWidth="9.109375" defaultRowHeight="14.4" x14ac:dyDescent="0.3"/>
  <cols>
    <col min="1" max="4" width="9.109375" style="69"/>
    <col min="5" max="5" width="41.33203125" style="69" customWidth="1"/>
    <col min="6" max="6" width="35.5546875" style="69" customWidth="1"/>
    <col min="7" max="7" width="27.44140625" style="69" customWidth="1"/>
    <col min="8" max="8" width="15.88671875" style="69" bestFit="1" customWidth="1"/>
    <col min="9" max="10" width="12.88671875" style="69" customWidth="1"/>
    <col min="11" max="11" width="15" style="69" customWidth="1"/>
    <col min="12" max="12" width="19.33203125" style="69" customWidth="1"/>
    <col min="13" max="16384" width="9.109375" style="69"/>
  </cols>
  <sheetData>
    <row r="5" spans="5:11" ht="15" customHeight="1" x14ac:dyDescent="0.3">
      <c r="E5" s="504" t="s">
        <v>166</v>
      </c>
      <c r="F5" s="504"/>
      <c r="G5" s="504"/>
    </row>
    <row r="6" spans="5:11" ht="15.75" customHeight="1" thickBot="1" x14ac:dyDescent="0.35">
      <c r="E6" s="505"/>
      <c r="F6" s="505"/>
      <c r="G6" s="505"/>
    </row>
    <row r="7" spans="5:11" ht="30" customHeight="1" x14ac:dyDescent="0.3">
      <c r="E7" s="506" t="s">
        <v>167</v>
      </c>
      <c r="F7" s="506"/>
      <c r="G7" s="506"/>
    </row>
    <row r="8" spans="5:11" ht="24.9" customHeight="1" x14ac:dyDescent="0.3">
      <c r="E8" s="94" t="s">
        <v>105</v>
      </c>
      <c r="F8" s="97"/>
      <c r="G8" s="98">
        <f>'Produto 1'!D29+'Produto 1'!G29+'Produto 1'!J29+'Produto 1'!M29+'Produto 1'!P29+'Produto 2'!D29+'Produto 2'!G29+'Produto 2'!J29+'Produto 2'!M29+'Produto 2'!P29</f>
        <v>0</v>
      </c>
    </row>
    <row r="9" spans="5:11" ht="24.9" customHeight="1" x14ac:dyDescent="0.3">
      <c r="E9" s="94" t="s">
        <v>168</v>
      </c>
      <c r="F9" s="299" t="str">
        <f>IFERROR(G9/$G$8,"")</f>
        <v/>
      </c>
      <c r="G9" s="101">
        <f>(('Produto 1'!D13+'Produto 1'!D15+'Produto 1'!D17+'Produto 1'!D19)*'Produto 1'!D28)+(('Produto 1'!G13+'Produto 1'!G15+'Produto 1'!G17+'Produto 1'!G19)*'Produto 1'!G28+(('Produto 1'!J13+'Produto 1'!J15+'Produto 1'!J17+'Produto 1'!J19)*'Produto 1'!J28)+(('Produto 1'!M13+'Produto 1'!M15+'Produto 1'!M17+'Produto 1'!M19)*'Produto 1'!M28+(('Produto 1'!P13+'Produto 1'!P15+'Produto 1'!P17+'Produto 1'!P19)*'Produto 1'!P28))+(('Produto 2'!D13+'Produto 2'!D15+'Produto 2'!D17+'Produto 2'!D19)*'Produto 2'!D28)+(('Produto 2'!G13+'Produto 2'!G15+'Produto 2'!G17+'Produto 2'!G19)*'Produto 2'!G28)+(('Produto 2'!J13+'Produto 2'!J15+'Produto 2'!J17+'Produto 2'!J19)*'Produto 2'!J28+(('Produto 2'!M13+'Produto 2'!M15+'Produto 2'!M17+'Produto 2'!M19)*'Produto 2'!M28)+(('Produto 2'!Q13+'Produto 2'!P15+'Produto 2'!P17+'Produto 2'!P19)*'Produto 2'!P28)))</f>
        <v>0</v>
      </c>
    </row>
    <row r="10" spans="5:11" ht="24.9" customHeight="1" x14ac:dyDescent="0.3">
      <c r="E10" s="94" t="s">
        <v>169</v>
      </c>
      <c r="F10" s="299" t="str">
        <f>IFERROR(G10/$G$8,"")</f>
        <v/>
      </c>
      <c r="G10" s="101">
        <f>('Produto 1'!D11)*'Produto 1'!D28+('Produto 1'!G11)*'Produto 1'!G28+('Produto 1'!J11)*'Produto 1'!J28+('Produto 1'!M11)*'Produto 1'!M28+('Produto 1'!P11)*'Produto 1'!P28+('Produto 2'!D11)*'Produto 2'!D28+('Produto 2'!G11)*'Produto 2'!G28+('Produto 2'!J11)*'Produto 2'!J28+('Produto 2'!M11)*'Produto 2'!M28+('Produto 2'!P11)*'Produto 2'!P28</f>
        <v>0</v>
      </c>
    </row>
    <row r="11" spans="5:11" ht="24.9" customHeight="1" x14ac:dyDescent="0.3">
      <c r="E11" s="94" t="s">
        <v>170</v>
      </c>
      <c r="F11" s="299" t="str">
        <f t="shared" ref="F11" si="0">IFERROR(G11/$G$8,"")</f>
        <v/>
      </c>
      <c r="G11" s="101">
        <f>'Produto 1'!D9*'Produto 1'!D28+'Produto 1'!G9*'Produto 1'!G28+'Produto 1'!J9*'Produto 1'!J28+'Produto 1'!M9*'Produto 1'!M28+'Produto 1'!P9*'Produto 1'!P28+'Produto 2'!D9*'Produto 2'!D28+'Produto 2'!G9*'Produto 2'!G28+'Produto 2'!J9*'Produto 2'!J28+'Produto 2'!M9*'Produto 2'!M28+'Produto 2'!P9*'Produto 2'!P28</f>
        <v>0</v>
      </c>
      <c r="K11" s="297"/>
    </row>
    <row r="12" spans="5:11" ht="24.9" customHeight="1" x14ac:dyDescent="0.3">
      <c r="E12" s="94" t="s">
        <v>171</v>
      </c>
      <c r="F12" s="507">
        <f>G9+G11+G10</f>
        <v>0</v>
      </c>
      <c r="G12" s="508"/>
      <c r="K12" s="297"/>
    </row>
    <row r="13" spans="5:11" ht="24.9" hidden="1" customHeight="1" x14ac:dyDescent="0.3">
      <c r="E13" s="94" t="s">
        <v>172</v>
      </c>
      <c r="F13" s="104"/>
      <c r="G13" s="103">
        <f>G11-G14</f>
        <v>0</v>
      </c>
    </row>
    <row r="14" spans="5:11" ht="24.9" hidden="1" customHeight="1" x14ac:dyDescent="0.3">
      <c r="E14" s="94" t="s">
        <v>173</v>
      </c>
      <c r="F14" s="104"/>
      <c r="G14" s="114"/>
    </row>
    <row r="15" spans="5:11" ht="24.9" hidden="1" customHeight="1" x14ac:dyDescent="0.3">
      <c r="E15" s="94" t="s">
        <v>174</v>
      </c>
      <c r="F15" s="102"/>
      <c r="G15" s="114"/>
    </row>
    <row r="16" spans="5:11" ht="24.9" hidden="1" customHeight="1" x14ac:dyDescent="0.3">
      <c r="E16" s="94" t="s">
        <v>175</v>
      </c>
      <c r="F16" s="300">
        <f>IFERROR(G16/G14,0)</f>
        <v>0</v>
      </c>
      <c r="G16" s="298">
        <f>G15-G14</f>
        <v>0</v>
      </c>
      <c r="H16" s="509"/>
      <c r="I16" s="510"/>
      <c r="J16" s="371"/>
    </row>
    <row r="17" spans="5:7" ht="24.9" customHeight="1" x14ac:dyDescent="0.3">
      <c r="E17" s="293" t="s">
        <v>99</v>
      </c>
      <c r="F17" s="294" t="str">
        <f>IFERROR(G17/G8,"")</f>
        <v/>
      </c>
      <c r="G17" s="295">
        <f>G8-F12</f>
        <v>0</v>
      </c>
    </row>
    <row r="18" spans="5:7" ht="24.9" customHeight="1" x14ac:dyDescent="0.3">
      <c r="E18" s="94" t="s">
        <v>176</v>
      </c>
      <c r="F18" s="375">
        <f>SUM(F60:F62)</f>
        <v>0.125</v>
      </c>
      <c r="G18" s="307">
        <f>IFERROR(F18*G17,0)</f>
        <v>0</v>
      </c>
    </row>
    <row r="19" spans="5:7" ht="24.9" customHeight="1" x14ac:dyDescent="0.3">
      <c r="E19" s="293" t="s">
        <v>177</v>
      </c>
      <c r="F19" s="294" t="str">
        <f>IFERROR(G19/G8,"")</f>
        <v/>
      </c>
      <c r="G19" s="295">
        <f>G17-G18</f>
        <v>0</v>
      </c>
    </row>
    <row r="20" spans="5:7" ht="24.9" customHeight="1" x14ac:dyDescent="0.3">
      <c r="E20" s="94"/>
      <c r="F20" s="96"/>
      <c r="G20" s="98"/>
    </row>
    <row r="21" spans="5:7" ht="24.9" customHeight="1" x14ac:dyDescent="0.3">
      <c r="E21" s="94" t="s">
        <v>105</v>
      </c>
      <c r="F21" s="97"/>
      <c r="G21" s="98">
        <f>'Serviço revenda VAD 1'!D28+'Serviço revenda VAD 1'!G28+'Serviço revenda VAD 1'!J28+'Serviço revenda VAD 1'!M28+'Serviço revenda VAD 1'!P28+'Serviço revenda VAD 2'!D28+'Serviço revenda VAD 2'!G28+'Serviço revenda VAD 2'!J28+'Serviço revenda VAD 2'!M28+'Serviço revenda VAD 2'!P28</f>
        <v>0</v>
      </c>
    </row>
    <row r="22" spans="5:7" ht="24.9" customHeight="1" x14ac:dyDescent="0.3">
      <c r="E22" s="94" t="s">
        <v>168</v>
      </c>
      <c r="F22" s="299" t="str">
        <f>IFERROR(G22/$G$21,"")</f>
        <v/>
      </c>
      <c r="G22" s="101">
        <f>(('Serviço revenda VAD 1'!D13+'Serviço revenda VAD 1'!D15+'Serviço revenda VAD 1'!D17+'Serviço revenda VAD 1'!D19)*'Serviço revenda VAD 1'!D27)+(('Serviço revenda VAD 1'!G13+'Serviço revenda VAD 1'!G15+'Serviço revenda VAD 1'!G17+'Serviço revenda VAD 1'!G19)*'Serviço revenda VAD 1'!G27)+(('Serviço revenda VAD 1'!J13+'Serviço revenda VAD 1'!J15+'Serviço revenda VAD 1'!J17+'Serviço revenda VAD 1'!J19)*'Serviço revenda VAD 1'!J27)+(('Serviço revenda VAD 1'!M13+'Serviço revenda VAD 1'!M15+'Serviço revenda VAD 1'!M17+'Serviço revenda VAD 1'!M19)*'Serviço revenda VAD 1'!M27)+(('Serviço revenda VAD 1'!P13+'Serviço revenda VAD 1'!P15+'Serviço revenda VAD 1'!P17+'Serviço revenda VAD 1'!P19)*'Serviço revenda VAD 1'!P27)+(('Serviço revenda VAD 2'!D13+'Serviço revenda VAD 2'!D15+'Serviço revenda VAD 2'!D17+'Serviço revenda VAD 2'!D19)*'Serviço revenda VAD 2'!D27)+(('Serviço revenda VAD 2'!G13+'Serviço revenda VAD 2'!G15+'Serviço revenda VAD 2'!G17+'Serviço revenda VAD 2'!G19)*'Serviço revenda VAD 2'!G27)+(('Serviço revenda VAD 2'!J13+'Serviço revenda VAD 2'!J15+'Serviço revenda VAD 2'!J17+'Serviço revenda VAD 2'!J19)*'Serviço revenda VAD 2'!J27)+(('Serviço revenda VAD 2'!M13+'Serviço revenda VAD 2'!M15+'Serviço revenda VAD 2'!M17+'Serviço revenda VAD 2'!M19)*'Serviço revenda VAD 2'!M27)+(('Serviço revenda VAD 2'!P13+'Serviço revenda VAD 2'!P15+'Serviço revenda VAD 2'!P17+'Serviço revenda VAD 2'!P19)*'Serviço revenda VAD 2'!P27)</f>
        <v>0</v>
      </c>
    </row>
    <row r="23" spans="5:7" ht="24.9" customHeight="1" x14ac:dyDescent="0.3">
      <c r="E23" s="94" t="s">
        <v>178</v>
      </c>
      <c r="F23" s="299" t="str">
        <f t="shared" ref="F23" si="1">IFERROR(G23/$G$21,"")</f>
        <v/>
      </c>
      <c r="G23" s="101">
        <f>'Serviço revenda VAD 1'!D9*'Serviço revenda VAD 1'!D27+'Serviço revenda VAD 1'!G9*'Serviço revenda VAD 1'!G27+'Serviço revenda VAD 1'!J9*'Serviço revenda VAD 1'!J27+'Serviço revenda VAD 1'!M9*'Serviço revenda VAD 1'!M27+'Serviço revenda VAD 1'!P9*'Serviço revenda VAD 1'!P27+'Serviço revenda VAD 2'!D9*'Serviço revenda VAD 2'!D27+'Serviço revenda VAD 2'!G9*'Serviço revenda VAD 2'!G27+'Serviço revenda VAD 2'!J9*'Serviço revenda VAD 2'!J27+'Serviço revenda VAD 2'!M9*'Serviço revenda VAD 2'!M27+'Serviço revenda VAD 2'!P9*'Serviço revenda VAD 2'!P27</f>
        <v>0</v>
      </c>
    </row>
    <row r="24" spans="5:7" ht="24.9" customHeight="1" x14ac:dyDescent="0.3">
      <c r="E24" s="94" t="s">
        <v>171</v>
      </c>
      <c r="F24" s="507">
        <f>G23+G22</f>
        <v>0</v>
      </c>
      <c r="G24" s="508"/>
    </row>
    <row r="25" spans="5:7" ht="24.9" hidden="1" customHeight="1" x14ac:dyDescent="0.3">
      <c r="E25" s="94" t="s">
        <v>172</v>
      </c>
      <c r="F25" s="104" t="str">
        <f>IFERROR(G25/F24,"")</f>
        <v/>
      </c>
      <c r="G25" s="103">
        <f>F24-G26</f>
        <v>0</v>
      </c>
    </row>
    <row r="26" spans="5:7" ht="24.9" hidden="1" customHeight="1" x14ac:dyDescent="0.3">
      <c r="E26" s="94" t="s">
        <v>173</v>
      </c>
      <c r="F26" s="104" t="str">
        <f>IFERROR(G26/F24,"")</f>
        <v/>
      </c>
      <c r="G26" s="114"/>
    </row>
    <row r="27" spans="5:7" ht="24.9" hidden="1" customHeight="1" x14ac:dyDescent="0.3">
      <c r="E27" s="94" t="s">
        <v>174</v>
      </c>
      <c r="F27" s="102"/>
      <c r="G27" s="114"/>
    </row>
    <row r="28" spans="5:7" ht="24.9" hidden="1" customHeight="1" x14ac:dyDescent="0.3">
      <c r="E28" s="94" t="s">
        <v>175</v>
      </c>
      <c r="F28" s="300" t="str">
        <f>IFERROR(G28/G26,"")</f>
        <v/>
      </c>
      <c r="G28" s="298">
        <f>G27-G26</f>
        <v>0</v>
      </c>
    </row>
    <row r="29" spans="5:7" ht="24.9" customHeight="1" x14ac:dyDescent="0.3">
      <c r="E29" s="293" t="s">
        <v>99</v>
      </c>
      <c r="F29" s="294" t="str">
        <f>IFERROR(G29/G21,"")</f>
        <v/>
      </c>
      <c r="G29" s="295">
        <f>(G21-(F24+G28))</f>
        <v>0</v>
      </c>
    </row>
    <row r="30" spans="5:7" ht="24.9" customHeight="1" x14ac:dyDescent="0.3">
      <c r="E30" s="94" t="s">
        <v>176</v>
      </c>
      <c r="F30" s="375">
        <f>SUM(F60:F62)</f>
        <v>0.125</v>
      </c>
      <c r="G30" s="307">
        <f>IFERROR((G29)*F30,0)</f>
        <v>0</v>
      </c>
    </row>
    <row r="31" spans="5:7" ht="24.9" customHeight="1" x14ac:dyDescent="0.3">
      <c r="E31" s="293" t="s">
        <v>177</v>
      </c>
      <c r="F31" s="294" t="str">
        <f>IFERROR(G31/G21,"")</f>
        <v/>
      </c>
      <c r="G31" s="295">
        <f>G29-G30</f>
        <v>0</v>
      </c>
    </row>
    <row r="32" spans="5:7" ht="28.5" customHeight="1" x14ac:dyDescent="0.3">
      <c r="E32" s="506" t="s">
        <v>179</v>
      </c>
      <c r="F32" s="506"/>
      <c r="G32" s="506"/>
    </row>
    <row r="33" spans="5:7" ht="24.9" customHeight="1" x14ac:dyDescent="0.3">
      <c r="E33" s="94" t="s">
        <v>180</v>
      </c>
      <c r="F33" s="99"/>
      <c r="G33" s="95">
        <f>'Licença 1'!D28+'Licença 1'!G28+'Licença 1'!J28+'Licença 1'!M28+'Licença 1'!P28+'Licença 2'!D28+'Licença 2'!G28+'Licença 2'!J28+'Licença 2'!M28+'Licença 2'!P28</f>
        <v>0</v>
      </c>
    </row>
    <row r="34" spans="5:7" ht="24.9" customHeight="1" x14ac:dyDescent="0.3">
      <c r="E34" s="94" t="s">
        <v>181</v>
      </c>
      <c r="F34" s="299" t="str">
        <f>IFERROR(G34/$G$33,"")</f>
        <v/>
      </c>
      <c r="G34" s="113">
        <f>(('Licença 1'!D13+'Licença 1'!D15+'Licença 1'!D17+'Licença 1'!D19)*'Licença 1'!D27)+(('Licença 1'!G13+'Licença 1'!G15+'Licença 1'!G17+'Licença 1'!G19)*'Licença 1'!G27)+(('Licença 1'!J13+'Licença 1'!J15+'Licença 1'!J17+'Licença 1'!J19)*'Licença 1'!J27)+(('Licença 1'!M13+'Licença 1'!M15+'Licença 1'!M17+'Licença 1'!M19)*'Licença 1'!M27)+(('Licença 1'!P13+'Licença 1'!P15+'Licença 1'!P17+'Licença 1'!P19)*'Licença 1'!P27)+(('Licença 2'!D13+'Licença 2'!D15+'Licença 2'!D17+'Licença 2'!D19)*'Licença 2'!D27)+(('Licença 2'!G13+'Licença 2'!G15+'Licença 2'!G17+'Licença 2'!G19)*'Licença 2'!G27)+(('Licença 2'!J13+'Licença 2'!J15+'Licença 2'!J17+'Licença 2'!J19)*'Licença 2'!J27)+(('Licença 2'!M13+'Licença 2'!M15+'Licença 2'!M17+'Licença 2'!M19)*'Licença 2'!M27)+(('Licença 2'!P13+'Licença 2'!P15+'Licença 2'!P17+'Licença 2'!P19)*'Licença 2'!P27)</f>
        <v>0</v>
      </c>
    </row>
    <row r="35" spans="5:7" ht="24.9" customHeight="1" x14ac:dyDescent="0.3">
      <c r="E35" s="94" t="s">
        <v>182</v>
      </c>
      <c r="F35" s="299" t="str">
        <f t="shared" ref="F35" si="2">IFERROR(G35/$G$33,"")</f>
        <v/>
      </c>
      <c r="G35" s="113">
        <f>'Licença 1'!D9*'Licença 1'!D27+'Licença 1'!G9*'Licença 1'!G27+'Licença 1'!J9*'Licença 1'!J27+'Licença 1'!M9*'Licença 1'!M27+'Licença 1'!P9*'Licença 1'!P27+'Licença 2'!D9*'Licença 2'!D27+'Licença 2'!G9*'Licença 2'!G27+'Licença 2'!J9*'Licença 2'!J27+'Licença 2'!M9*'Licença 2'!M27+'Licença 2'!P9*'Licença 2'!P27</f>
        <v>0</v>
      </c>
    </row>
    <row r="36" spans="5:7" ht="24.9" customHeight="1" x14ac:dyDescent="0.3">
      <c r="E36" s="100" t="s">
        <v>171</v>
      </c>
      <c r="F36" s="507">
        <f>SUM(G34:G35)</f>
        <v>0</v>
      </c>
      <c r="G36" s="508"/>
    </row>
    <row r="37" spans="5:7" ht="24.9" customHeight="1" x14ac:dyDescent="0.3">
      <c r="E37" s="293" t="s">
        <v>99</v>
      </c>
      <c r="F37" s="294" t="str">
        <f>IFERROR(G37/G33,"")</f>
        <v/>
      </c>
      <c r="G37" s="295">
        <f>G33-G34-G35</f>
        <v>0</v>
      </c>
    </row>
    <row r="38" spans="5:7" ht="24.9" customHeight="1" x14ac:dyDescent="0.3">
      <c r="E38" s="94" t="s">
        <v>176</v>
      </c>
      <c r="F38" s="375">
        <f>SUM(F60:F62)</f>
        <v>0.125</v>
      </c>
      <c r="G38" s="307">
        <f>IFERROR(F38*G37,0)</f>
        <v>0</v>
      </c>
    </row>
    <row r="39" spans="5:7" ht="24.9" customHeight="1" x14ac:dyDescent="0.3">
      <c r="E39" s="293" t="s">
        <v>177</v>
      </c>
      <c r="F39" s="294" t="str">
        <f>IFERROR(G39/G33,"")</f>
        <v/>
      </c>
      <c r="G39" s="295">
        <f>G37-G38</f>
        <v>0</v>
      </c>
    </row>
    <row r="40" spans="5:7" ht="26.25" customHeight="1" x14ac:dyDescent="0.3"/>
    <row r="41" spans="5:7" ht="24.9" customHeight="1" x14ac:dyDescent="0.3">
      <c r="E41" s="94" t="s">
        <v>180</v>
      </c>
      <c r="F41" s="99"/>
      <c r="G41" s="95">
        <f>'Serviços Accerte'!D30</f>
        <v>0</v>
      </c>
    </row>
    <row r="42" spans="5:7" ht="27" customHeight="1" x14ac:dyDescent="0.3">
      <c r="E42" s="94" t="s">
        <v>183</v>
      </c>
      <c r="F42" s="299" t="str">
        <f>IFERROR(G42/$G$41,"")</f>
        <v/>
      </c>
      <c r="G42" s="113">
        <f>'Serviços Accerte'!D32+'Serviços Accerte'!D48</f>
        <v>0</v>
      </c>
    </row>
    <row r="43" spans="5:7" ht="24.9" customHeight="1" x14ac:dyDescent="0.3">
      <c r="E43" s="94" t="s">
        <v>184</v>
      </c>
      <c r="F43" s="376">
        <f>SUM('Serviços Accerte'!C40:C45)</f>
        <v>0.125</v>
      </c>
      <c r="G43" s="113">
        <f>'Serviços Accerte'!D40+'Serviços Accerte'!D42+'Serviços Accerte'!D44</f>
        <v>0</v>
      </c>
    </row>
    <row r="44" spans="5:7" ht="24.9" customHeight="1" x14ac:dyDescent="0.3">
      <c r="E44" s="94" t="s">
        <v>185</v>
      </c>
      <c r="F44" s="299" t="str">
        <f t="shared" ref="F44" si="3">IFERROR(G44/$G$41,"")</f>
        <v/>
      </c>
      <c r="G44" s="113">
        <f>'Serviços Accerte'!D36+'Serviços Accerte'!D38+'Serviços Accerte'!D34</f>
        <v>0</v>
      </c>
    </row>
    <row r="45" spans="5:7" ht="24.9" customHeight="1" x14ac:dyDescent="0.3">
      <c r="E45" s="100" t="s">
        <v>171</v>
      </c>
      <c r="F45" s="507">
        <f>SUM(G42:G44)</f>
        <v>0</v>
      </c>
      <c r="G45" s="508"/>
    </row>
    <row r="46" spans="5:7" ht="24.9" customHeight="1" x14ac:dyDescent="0.3">
      <c r="E46" s="296" t="s">
        <v>177</v>
      </c>
      <c r="F46" s="294" t="str">
        <f>IFERROR(G46/G41,"")</f>
        <v/>
      </c>
      <c r="G46" s="295">
        <f>G41-G42-G43-G44</f>
        <v>0</v>
      </c>
    </row>
    <row r="47" spans="5:7" ht="26.25" customHeight="1" x14ac:dyDescent="0.3"/>
    <row r="48" spans="5:7" ht="24.9" customHeight="1" x14ac:dyDescent="0.3">
      <c r="E48" s="94" t="s">
        <v>180</v>
      </c>
      <c r="F48" s="99"/>
      <c r="G48" s="95">
        <f>'Serviços Accerte'!D72</f>
        <v>21000</v>
      </c>
    </row>
    <row r="49" spans="5:12" ht="24.9" customHeight="1" x14ac:dyDescent="0.3">
      <c r="E49" s="94" t="s">
        <v>181</v>
      </c>
      <c r="F49" s="299">
        <f>IFERROR(G49/$G$48,"")</f>
        <v>0.32550000000000001</v>
      </c>
      <c r="G49" s="113">
        <f>'Serviços Accerte'!D74+'Serviços Accerte'!D92</f>
        <v>6835.5</v>
      </c>
    </row>
    <row r="50" spans="5:12" ht="24.9" customHeight="1" x14ac:dyDescent="0.3">
      <c r="E50" s="94" t="s">
        <v>184</v>
      </c>
      <c r="F50" s="376">
        <f>SUM('Serviços Accerte'!C82:C89)</f>
        <v>0</v>
      </c>
      <c r="G50" s="113">
        <f>'Serviços Accerte'!D82+'Serviços Accerte'!D84+'Serviços Accerte'!D86+'Serviços Accerte'!D88</f>
        <v>0</v>
      </c>
    </row>
    <row r="51" spans="5:12" ht="24.9" customHeight="1" x14ac:dyDescent="0.3">
      <c r="E51" s="94" t="s">
        <v>185</v>
      </c>
      <c r="F51" s="299">
        <f t="shared" ref="F51" si="4">IFERROR(G51/$G$48,"")</f>
        <v>0</v>
      </c>
      <c r="G51" s="113">
        <f>'Serviços Accerte'!D78+'Serviços Accerte'!D80</f>
        <v>0</v>
      </c>
    </row>
    <row r="52" spans="5:12" ht="24.9" customHeight="1" x14ac:dyDescent="0.3">
      <c r="E52" s="100" t="s">
        <v>171</v>
      </c>
      <c r="F52" s="507">
        <f>SUM(G49:G51)</f>
        <v>6835.5</v>
      </c>
      <c r="G52" s="508"/>
    </row>
    <row r="53" spans="5:12" ht="24.9" customHeight="1" x14ac:dyDescent="0.3">
      <c r="E53" s="296" t="s">
        <v>177</v>
      </c>
      <c r="F53" s="303">
        <f>IFERROR(G53/G48,"")</f>
        <v>0.67449999999999999</v>
      </c>
      <c r="G53" s="304">
        <f>G48-G49-G50-G51</f>
        <v>14164.5</v>
      </c>
    </row>
    <row r="54" spans="5:12" ht="14.4" customHeight="1" x14ac:dyDescent="0.3">
      <c r="E54" s="378"/>
      <c r="F54" s="379"/>
      <c r="G54" s="380"/>
    </row>
    <row r="55" spans="5:12" ht="24.9" customHeight="1" thickBot="1" x14ac:dyDescent="0.35">
      <c r="E55" s="377" t="s">
        <v>186</v>
      </c>
      <c r="F55" s="514">
        <f>G48+G41+G33+G21+G8</f>
        <v>21000</v>
      </c>
      <c r="G55" s="515"/>
      <c r="H55" s="351" t="s">
        <v>187</v>
      </c>
    </row>
    <row r="56" spans="5:12" ht="24" customHeight="1" thickBot="1" x14ac:dyDescent="0.35">
      <c r="E56" s="306" t="s">
        <v>140</v>
      </c>
      <c r="F56" s="513">
        <f>G53+G46+G39+G31+G19</f>
        <v>14164.5</v>
      </c>
      <c r="G56" s="513"/>
      <c r="H56" s="359">
        <f>F56-G65</f>
        <v>14164.5</v>
      </c>
    </row>
    <row r="57" spans="5:12" ht="24" customHeight="1" thickBot="1" x14ac:dyDescent="0.35">
      <c r="E57" s="305" t="s">
        <v>188</v>
      </c>
      <c r="F57" s="516">
        <f>IFERROR(F56/F55,"")</f>
        <v>0.67449999999999999</v>
      </c>
      <c r="G57" s="516"/>
      <c r="H57" s="360">
        <f>IFERROR(H56/F55,"")</f>
        <v>0.67449999999999999</v>
      </c>
    </row>
    <row r="58" spans="5:12" ht="15" thickBot="1" x14ac:dyDescent="0.35"/>
    <row r="59" spans="5:12" ht="29.1" customHeight="1" x14ac:dyDescent="0.3">
      <c r="E59" s="381" t="s">
        <v>189</v>
      </c>
      <c r="F59" s="382"/>
      <c r="G59" s="383" t="s">
        <v>189</v>
      </c>
      <c r="H59" s="384" t="s">
        <v>190</v>
      </c>
      <c r="I59" s="384" t="s">
        <v>191</v>
      </c>
      <c r="J59" s="384" t="s">
        <v>192</v>
      </c>
      <c r="K59" s="384" t="s">
        <v>193</v>
      </c>
      <c r="L59" s="385" t="s">
        <v>194</v>
      </c>
    </row>
    <row r="60" spans="5:12" ht="15.6" x14ac:dyDescent="0.3">
      <c r="E60" s="386" t="s">
        <v>195</v>
      </c>
      <c r="F60" s="373">
        <v>0.08</v>
      </c>
      <c r="G60" s="387">
        <f>($G$63*F60)/SUM(F60:F62)</f>
        <v>0</v>
      </c>
      <c r="H60" s="387">
        <f>($G$18*F60)/SUM(F60:F62)</f>
        <v>0</v>
      </c>
      <c r="I60" s="387">
        <f>($G$38*F60)/SUM($F$60:$F$62)</f>
        <v>0</v>
      </c>
      <c r="J60" s="387">
        <f>($G$30*F60)/SUM($F$60:$F$62)</f>
        <v>0</v>
      </c>
      <c r="K60" s="387">
        <f>($G$50*F60)/SUM($F$60:$F$62)</f>
        <v>0</v>
      </c>
      <c r="L60" s="388">
        <f>($G$43*F60)/SUM($F$60:$F$62)</f>
        <v>0</v>
      </c>
    </row>
    <row r="61" spans="5:12" ht="15.6" x14ac:dyDescent="0.3">
      <c r="E61" s="389" t="s">
        <v>196</v>
      </c>
      <c r="F61" s="374">
        <v>0.04</v>
      </c>
      <c r="G61" s="390">
        <f>($G$63*F61)/SUM(F60:F62)</f>
        <v>0</v>
      </c>
      <c r="H61" s="390">
        <f>($G$18*F61)/SUM(F60:F62)</f>
        <v>0</v>
      </c>
      <c r="I61" s="390">
        <f t="shared" ref="I61:I62" si="5">($G$38*F61)/SUM($F$60:$F$62)</f>
        <v>0</v>
      </c>
      <c r="J61" s="390">
        <f t="shared" ref="J61:J62" si="6">($G$30*F61)/SUM($F$60:$F$62)</f>
        <v>0</v>
      </c>
      <c r="K61" s="390">
        <f t="shared" ref="K61:K62" si="7">($G$50*F61)/SUM($F$60:$F$62)</f>
        <v>0</v>
      </c>
      <c r="L61" s="391">
        <f t="shared" ref="L61:L62" si="8">($G$43*F61)/SUM($F$60:$F$62)</f>
        <v>0</v>
      </c>
    </row>
    <row r="62" spans="5:12" ht="16.2" thickBot="1" x14ac:dyDescent="0.35">
      <c r="E62" s="392" t="s">
        <v>197</v>
      </c>
      <c r="F62" s="393">
        <v>5.0000000000000001E-3</v>
      </c>
      <c r="G62" s="394">
        <f>($G$63*F62)/SUM(F60:F62)</f>
        <v>0</v>
      </c>
      <c r="H62" s="394">
        <f>($G$18*F62)/SUM(F60:F62)</f>
        <v>0</v>
      </c>
      <c r="I62" s="394">
        <f t="shared" si="5"/>
        <v>0</v>
      </c>
      <c r="J62" s="394">
        <f t="shared" si="6"/>
        <v>0</v>
      </c>
      <c r="K62" s="394">
        <f t="shared" si="7"/>
        <v>0</v>
      </c>
      <c r="L62" s="395">
        <f t="shared" si="8"/>
        <v>0</v>
      </c>
    </row>
    <row r="63" spans="5:12" ht="16.2" thickBot="1" x14ac:dyDescent="0.35">
      <c r="E63" s="511" t="s">
        <v>198</v>
      </c>
      <c r="F63" s="512"/>
      <c r="G63" s="396">
        <f>G50+G43+G38+G30+G18</f>
        <v>0</v>
      </c>
    </row>
    <row r="64" spans="5:12" ht="15" thickBot="1" x14ac:dyDescent="0.35"/>
    <row r="65" spans="5:7" ht="16.2" thickBot="1" x14ac:dyDescent="0.35">
      <c r="E65" s="358" t="s">
        <v>199</v>
      </c>
      <c r="F65" s="356"/>
      <c r="G65" s="357">
        <f>F65*F56</f>
        <v>0</v>
      </c>
    </row>
    <row r="66" spans="5:7" ht="19.5" customHeight="1" x14ac:dyDescent="0.3"/>
  </sheetData>
  <sheetProtection sheet="1" objects="1" scenarios="1"/>
  <mergeCells count="13">
    <mergeCell ref="H16:I16"/>
    <mergeCell ref="E63:F63"/>
    <mergeCell ref="F56:G56"/>
    <mergeCell ref="F45:G45"/>
    <mergeCell ref="F52:G52"/>
    <mergeCell ref="F55:G55"/>
    <mergeCell ref="F57:G57"/>
    <mergeCell ref="E5:G6"/>
    <mergeCell ref="E7:G7"/>
    <mergeCell ref="E32:G32"/>
    <mergeCell ref="F24:G24"/>
    <mergeCell ref="F36:G36"/>
    <mergeCell ref="F12:G1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3 F50" 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Y111"/>
  <sheetViews>
    <sheetView showGridLines="0" topLeftCell="C1" workbookViewId="0">
      <selection activeCell="L12" sqref="L12:M12"/>
    </sheetView>
  </sheetViews>
  <sheetFormatPr defaultColWidth="9.109375" defaultRowHeight="14.4" x14ac:dyDescent="0.3"/>
  <cols>
    <col min="1" max="8" width="9.109375" style="168"/>
    <col min="9" max="9" width="7.33203125" style="168" customWidth="1"/>
    <col min="10" max="10" width="16.44140625" style="168" customWidth="1"/>
    <col min="11" max="11" width="16" style="168" customWidth="1"/>
    <col min="12" max="12" width="11.44140625" style="168" customWidth="1"/>
    <col min="13" max="13" width="13.33203125" style="168" bestFit="1" customWidth="1"/>
    <col min="14" max="14" width="16.33203125" style="168" customWidth="1"/>
    <col min="15" max="15" width="8" style="168" bestFit="1" customWidth="1"/>
    <col min="16" max="16384" width="9.109375" style="168"/>
  </cols>
  <sheetData>
    <row r="1" spans="1:20" ht="15" customHeight="1" x14ac:dyDescent="0.3">
      <c r="A1" s="590" t="s">
        <v>200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  <c r="O1" s="590"/>
      <c r="P1" s="590"/>
      <c r="Q1" s="590"/>
      <c r="R1" s="590"/>
      <c r="S1" s="590"/>
      <c r="T1" s="590"/>
    </row>
    <row r="2" spans="1:20" ht="15" customHeight="1" x14ac:dyDescent="0.3">
      <c r="A2" s="590"/>
      <c r="B2" s="590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0"/>
      <c r="R2" s="590"/>
      <c r="S2" s="590"/>
      <c r="T2" s="590"/>
    </row>
    <row r="3" spans="1:20" ht="15" customHeight="1" x14ac:dyDescent="0.3">
      <c r="A3" s="590"/>
      <c r="B3" s="590"/>
      <c r="C3" s="590"/>
      <c r="D3" s="590"/>
      <c r="E3" s="590"/>
      <c r="F3" s="590"/>
      <c r="G3" s="590"/>
      <c r="H3" s="590"/>
      <c r="I3" s="590"/>
      <c r="J3" s="590"/>
      <c r="K3" s="590"/>
      <c r="L3" s="590"/>
      <c r="M3" s="590"/>
      <c r="N3" s="590"/>
      <c r="O3" s="590"/>
      <c r="P3" s="590"/>
      <c r="Q3" s="590"/>
      <c r="R3" s="590"/>
      <c r="S3" s="590"/>
      <c r="T3" s="590"/>
    </row>
    <row r="4" spans="1:20" ht="15" customHeight="1" x14ac:dyDescent="0.3">
      <c r="A4" s="590"/>
      <c r="B4" s="590"/>
      <c r="C4" s="590"/>
      <c r="D4" s="590"/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Q4" s="590"/>
      <c r="R4" s="590"/>
      <c r="S4" s="590"/>
      <c r="T4" s="590"/>
    </row>
    <row r="5" spans="1:20" ht="41.25" customHeight="1" x14ac:dyDescent="0.3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</row>
    <row r="6" spans="1:20" x14ac:dyDescent="0.3">
      <c r="A6" s="20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</row>
    <row r="7" spans="1:20" ht="15" thickBot="1" x14ac:dyDescent="0.35">
      <c r="A7" s="169"/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</row>
    <row r="8" spans="1:20" x14ac:dyDescent="0.3">
      <c r="A8" s="169"/>
      <c r="B8" s="169"/>
      <c r="C8" s="169"/>
      <c r="D8" s="566" t="s">
        <v>201</v>
      </c>
      <c r="E8" s="567"/>
      <c r="F8" s="567"/>
      <c r="G8" s="567"/>
      <c r="H8" s="567"/>
      <c r="I8" s="567"/>
      <c r="J8" s="567"/>
      <c r="K8" s="567"/>
      <c r="L8" s="567"/>
      <c r="M8" s="567"/>
      <c r="N8" s="567"/>
      <c r="O8" s="567"/>
      <c r="P8" s="567"/>
      <c r="Q8" s="568"/>
      <c r="R8" s="169"/>
      <c r="S8" s="169"/>
      <c r="T8" s="169"/>
    </row>
    <row r="9" spans="1:20" ht="15" thickBot="1" x14ac:dyDescent="0.35">
      <c r="A9" s="169"/>
      <c r="B9" s="169"/>
      <c r="C9" s="169"/>
      <c r="D9" s="569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1"/>
      <c r="R9" s="169"/>
      <c r="S9" s="169"/>
      <c r="T9" s="169"/>
    </row>
    <row r="10" spans="1:20" ht="18" customHeight="1" thickBot="1" x14ac:dyDescent="0.35">
      <c r="A10" s="169"/>
      <c r="B10" s="169"/>
      <c r="C10" s="169"/>
      <c r="D10" s="563" t="s">
        <v>202</v>
      </c>
      <c r="E10" s="563"/>
      <c r="F10" s="563"/>
      <c r="G10" s="563"/>
      <c r="H10" s="563"/>
      <c r="I10" s="563"/>
      <c r="J10" s="565" t="s">
        <v>47</v>
      </c>
      <c r="K10" s="565"/>
      <c r="L10" s="530" t="s">
        <v>203</v>
      </c>
      <c r="M10" s="532"/>
      <c r="N10" s="551" t="s">
        <v>204</v>
      </c>
      <c r="O10" s="552"/>
      <c r="P10" s="565" t="s">
        <v>205</v>
      </c>
      <c r="Q10" s="565"/>
      <c r="R10" s="169"/>
      <c r="S10" s="169"/>
      <c r="T10" s="169"/>
    </row>
    <row r="11" spans="1:20" ht="18" customHeight="1" thickBot="1" x14ac:dyDescent="0.35">
      <c r="A11" s="169"/>
      <c r="B11" s="169"/>
      <c r="C11" s="169"/>
      <c r="D11" s="520" t="s">
        <v>206</v>
      </c>
      <c r="E11" s="521"/>
      <c r="F11" s="521"/>
      <c r="G11" s="521"/>
      <c r="H11" s="521"/>
      <c r="I11" s="522"/>
      <c r="J11" s="523">
        <v>2</v>
      </c>
      <c r="K11" s="524"/>
      <c r="L11" s="561">
        <v>11750</v>
      </c>
      <c r="M11" s="562"/>
      <c r="N11" s="556">
        <v>1</v>
      </c>
      <c r="O11" s="557"/>
      <c r="P11" s="558">
        <f>J11*L11*N11</f>
        <v>23500</v>
      </c>
      <c r="Q11" s="559"/>
      <c r="R11" s="169"/>
      <c r="S11" s="169"/>
      <c r="T11" s="169"/>
    </row>
    <row r="12" spans="1:20" ht="18" customHeight="1" thickBot="1" x14ac:dyDescent="0.35">
      <c r="A12" s="169"/>
      <c r="B12" s="169"/>
      <c r="C12" s="169"/>
      <c r="D12" s="520" t="s">
        <v>207</v>
      </c>
      <c r="E12" s="521"/>
      <c r="F12" s="521"/>
      <c r="G12" s="521"/>
      <c r="H12" s="521"/>
      <c r="I12" s="522"/>
      <c r="J12" s="523">
        <v>2</v>
      </c>
      <c r="K12" s="524"/>
      <c r="L12" s="561">
        <v>3196</v>
      </c>
      <c r="M12" s="562"/>
      <c r="N12" s="556">
        <v>1.85</v>
      </c>
      <c r="O12" s="557"/>
      <c r="P12" s="558">
        <f>J12*L12*N12</f>
        <v>11825.2</v>
      </c>
      <c r="Q12" s="559"/>
      <c r="R12" s="169"/>
      <c r="S12" s="169"/>
      <c r="T12" s="169"/>
    </row>
    <row r="13" spans="1:20" ht="18" customHeight="1" thickBot="1" x14ac:dyDescent="0.35">
      <c r="A13" s="169"/>
      <c r="B13" s="169"/>
      <c r="C13" s="169"/>
      <c r="D13" s="520" t="s">
        <v>208</v>
      </c>
      <c r="E13" s="521"/>
      <c r="F13" s="521"/>
      <c r="G13" s="521"/>
      <c r="H13" s="521"/>
      <c r="I13" s="522"/>
      <c r="J13" s="523">
        <v>2</v>
      </c>
      <c r="K13" s="524"/>
      <c r="L13" s="561">
        <v>1048</v>
      </c>
      <c r="M13" s="562"/>
      <c r="N13" s="556">
        <v>1</v>
      </c>
      <c r="O13" s="557"/>
      <c r="P13" s="558">
        <f>J13*L13*N13</f>
        <v>2096</v>
      </c>
      <c r="Q13" s="559"/>
      <c r="R13" s="169"/>
      <c r="S13" s="169"/>
      <c r="T13" s="169"/>
    </row>
    <row r="14" spans="1:20" ht="18" customHeight="1" thickBot="1" x14ac:dyDescent="0.35">
      <c r="A14" s="169"/>
      <c r="B14" s="169"/>
      <c r="C14" s="169"/>
      <c r="D14" s="520"/>
      <c r="E14" s="521"/>
      <c r="F14" s="521"/>
      <c r="G14" s="521"/>
      <c r="H14" s="521"/>
      <c r="I14" s="522"/>
      <c r="J14" s="523"/>
      <c r="K14" s="524"/>
      <c r="L14" s="561"/>
      <c r="M14" s="562"/>
      <c r="N14" s="556"/>
      <c r="O14" s="557"/>
      <c r="P14" s="558">
        <f>J14*L14*N14</f>
        <v>0</v>
      </c>
      <c r="Q14" s="559"/>
      <c r="R14" s="169"/>
      <c r="S14" s="169"/>
      <c r="T14" s="169"/>
    </row>
    <row r="15" spans="1:20" ht="18" customHeight="1" thickBot="1" x14ac:dyDescent="0.35">
      <c r="A15" s="169"/>
      <c r="B15" s="169"/>
      <c r="C15" s="169"/>
      <c r="D15" s="520"/>
      <c r="E15" s="521"/>
      <c r="F15" s="521"/>
      <c r="G15" s="521"/>
      <c r="H15" s="521"/>
      <c r="I15" s="522"/>
      <c r="J15" s="523"/>
      <c r="K15" s="524"/>
      <c r="L15" s="561"/>
      <c r="M15" s="562"/>
      <c r="N15" s="556"/>
      <c r="O15" s="557"/>
      <c r="P15" s="558">
        <f>J15*L15*N15</f>
        <v>0</v>
      </c>
      <c r="Q15" s="559"/>
      <c r="R15" s="169"/>
      <c r="S15" s="169"/>
      <c r="T15" s="169"/>
    </row>
    <row r="16" spans="1:20" ht="18" customHeight="1" thickBot="1" x14ac:dyDescent="0.35">
      <c r="A16" s="169"/>
      <c r="B16" s="169"/>
      <c r="C16" s="169"/>
      <c r="D16" s="563" t="s">
        <v>209</v>
      </c>
      <c r="E16" s="563"/>
      <c r="F16" s="563"/>
      <c r="G16" s="563"/>
      <c r="H16" s="563"/>
      <c r="I16" s="563"/>
      <c r="J16" s="565" t="s">
        <v>47</v>
      </c>
      <c r="K16" s="565"/>
      <c r="L16" s="530" t="s">
        <v>203</v>
      </c>
      <c r="M16" s="532"/>
      <c r="N16" s="551" t="s">
        <v>204</v>
      </c>
      <c r="O16" s="552"/>
      <c r="P16" s="565" t="s">
        <v>205</v>
      </c>
      <c r="Q16" s="565"/>
      <c r="R16" s="169"/>
      <c r="S16" s="169"/>
      <c r="T16" s="169"/>
    </row>
    <row r="17" spans="1:20" ht="18" customHeight="1" thickBot="1" x14ac:dyDescent="0.35">
      <c r="A17" s="169"/>
      <c r="B17" s="169"/>
      <c r="C17" s="169"/>
      <c r="D17" s="520" t="s">
        <v>210</v>
      </c>
      <c r="E17" s="521"/>
      <c r="F17" s="521"/>
      <c r="G17" s="521"/>
      <c r="H17" s="521"/>
      <c r="I17" s="522"/>
      <c r="J17" s="523">
        <v>1</v>
      </c>
      <c r="K17" s="524"/>
      <c r="L17" s="561">
        <v>8000</v>
      </c>
      <c r="M17" s="562"/>
      <c r="N17" s="556">
        <v>1</v>
      </c>
      <c r="O17" s="557"/>
      <c r="P17" s="558">
        <f>J17*L17*N17</f>
        <v>8000</v>
      </c>
      <c r="Q17" s="559"/>
      <c r="R17" s="169"/>
      <c r="S17" s="169"/>
      <c r="T17" s="169"/>
    </row>
    <row r="18" spans="1:20" ht="18" customHeight="1" thickBot="1" x14ac:dyDescent="0.35">
      <c r="A18" s="169"/>
      <c r="B18" s="169"/>
      <c r="C18" s="169"/>
      <c r="D18" s="520"/>
      <c r="E18" s="521"/>
      <c r="F18" s="521"/>
      <c r="G18" s="521"/>
      <c r="H18" s="521"/>
      <c r="I18" s="522"/>
      <c r="J18" s="523"/>
      <c r="K18" s="524"/>
      <c r="L18" s="561"/>
      <c r="M18" s="562"/>
      <c r="N18" s="556"/>
      <c r="O18" s="557"/>
      <c r="P18" s="558">
        <f>J18*L18*N18</f>
        <v>0</v>
      </c>
      <c r="Q18" s="559"/>
      <c r="R18" s="169"/>
      <c r="S18" s="169"/>
      <c r="T18" s="169"/>
    </row>
    <row r="19" spans="1:20" ht="18" customHeight="1" thickBot="1" x14ac:dyDescent="0.35">
      <c r="A19" s="169"/>
      <c r="B19" s="169"/>
      <c r="C19" s="169"/>
      <c r="D19" s="563" t="s">
        <v>211</v>
      </c>
      <c r="E19" s="563"/>
      <c r="F19" s="563"/>
      <c r="G19" s="563"/>
      <c r="H19" s="563"/>
      <c r="I19" s="563"/>
      <c r="J19" s="530" t="s">
        <v>212</v>
      </c>
      <c r="K19" s="531"/>
      <c r="L19" s="531"/>
      <c r="M19" s="532"/>
      <c r="N19" s="564" t="s">
        <v>47</v>
      </c>
      <c r="O19" s="541"/>
      <c r="P19" s="565" t="s">
        <v>205</v>
      </c>
      <c r="Q19" s="565"/>
      <c r="R19" s="169"/>
      <c r="S19" s="169"/>
      <c r="T19" s="169"/>
    </row>
    <row r="20" spans="1:20" ht="18" customHeight="1" thickBot="1" x14ac:dyDescent="0.35">
      <c r="A20" s="169"/>
      <c r="B20" s="169"/>
      <c r="C20" s="169"/>
      <c r="D20" s="520" t="s">
        <v>213</v>
      </c>
      <c r="E20" s="521"/>
      <c r="F20" s="521"/>
      <c r="G20" s="521"/>
      <c r="H20" s="521"/>
      <c r="I20" s="522"/>
      <c r="J20" s="553">
        <v>2696</v>
      </c>
      <c r="K20" s="554"/>
      <c r="L20" s="554"/>
      <c r="M20" s="555"/>
      <c r="N20" s="556">
        <v>1</v>
      </c>
      <c r="O20" s="557"/>
      <c r="P20" s="558">
        <f>J20*N20</f>
        <v>2696</v>
      </c>
      <c r="Q20" s="559"/>
      <c r="R20" s="169"/>
      <c r="S20" s="169"/>
      <c r="T20" s="169"/>
    </row>
    <row r="21" spans="1:20" ht="18" customHeight="1" thickBot="1" x14ac:dyDescent="0.35">
      <c r="A21" s="169"/>
      <c r="B21" s="169"/>
      <c r="C21" s="169"/>
      <c r="D21" s="520" t="s">
        <v>214</v>
      </c>
      <c r="E21" s="521"/>
      <c r="F21" s="521"/>
      <c r="G21" s="521"/>
      <c r="H21" s="521"/>
      <c r="I21" s="522"/>
      <c r="J21" s="523"/>
      <c r="K21" s="560"/>
      <c r="L21" s="560"/>
      <c r="M21" s="524"/>
      <c r="N21" s="556"/>
      <c r="O21" s="557"/>
      <c r="P21" s="558">
        <f>J21*N21</f>
        <v>0</v>
      </c>
      <c r="Q21" s="559"/>
      <c r="R21" s="169"/>
      <c r="S21" s="169"/>
      <c r="T21" s="169"/>
    </row>
    <row r="22" spans="1:20" ht="18" customHeight="1" thickBot="1" x14ac:dyDescent="0.35">
      <c r="A22" s="169"/>
      <c r="B22" s="169"/>
      <c r="C22" s="169"/>
      <c r="D22" s="520"/>
      <c r="E22" s="521"/>
      <c r="F22" s="521"/>
      <c r="G22" s="521"/>
      <c r="H22" s="521"/>
      <c r="I22" s="522"/>
      <c r="J22" s="523"/>
      <c r="K22" s="560"/>
      <c r="L22" s="560"/>
      <c r="M22" s="524"/>
      <c r="N22" s="556"/>
      <c r="O22" s="557"/>
      <c r="P22" s="558">
        <f>J22*N22</f>
        <v>0</v>
      </c>
      <c r="Q22" s="559"/>
      <c r="R22" s="169"/>
      <c r="S22" s="169"/>
      <c r="T22" s="169"/>
    </row>
    <row r="23" spans="1:20" ht="18" customHeight="1" thickBot="1" x14ac:dyDescent="0.35">
      <c r="A23" s="169"/>
      <c r="B23" s="169"/>
      <c r="C23" s="169"/>
      <c r="D23" s="536" t="s">
        <v>215</v>
      </c>
      <c r="E23" s="537"/>
      <c r="F23" s="537"/>
      <c r="G23" s="537"/>
      <c r="H23" s="537"/>
      <c r="I23" s="537"/>
      <c r="J23" s="537"/>
      <c r="K23" s="537"/>
      <c r="L23" s="537"/>
      <c r="M23" s="538"/>
      <c r="N23" s="539">
        <f>SUM(P11:Q15)+SUM(P17:Q18)+SUM(P20:Q22)</f>
        <v>48117.2</v>
      </c>
      <c r="O23" s="540"/>
      <c r="P23" s="540"/>
      <c r="Q23" s="541"/>
      <c r="R23" s="169"/>
      <c r="S23" s="169"/>
      <c r="T23" s="169"/>
    </row>
    <row r="24" spans="1:20" ht="18" customHeight="1" thickBot="1" x14ac:dyDescent="0.35">
      <c r="A24" s="169"/>
      <c r="B24" s="169"/>
      <c r="C24" s="169"/>
      <c r="D24" s="542" t="s">
        <v>216</v>
      </c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4"/>
      <c r="R24" s="169"/>
      <c r="S24" s="169"/>
      <c r="T24" s="169"/>
    </row>
    <row r="25" spans="1:20" ht="18" customHeight="1" thickBot="1" x14ac:dyDescent="0.35">
      <c r="A25" s="169"/>
      <c r="B25" s="169"/>
      <c r="C25" s="169"/>
      <c r="D25" s="545" t="s">
        <v>202</v>
      </c>
      <c r="E25" s="546"/>
      <c r="F25" s="546"/>
      <c r="G25" s="546"/>
      <c r="H25" s="546"/>
      <c r="I25" s="547"/>
      <c r="J25" s="530" t="s">
        <v>47</v>
      </c>
      <c r="K25" s="532"/>
      <c r="L25" s="548" t="s">
        <v>217</v>
      </c>
      <c r="M25" s="549"/>
      <c r="N25" s="549"/>
      <c r="O25" s="550"/>
      <c r="P25" s="551" t="s">
        <v>218</v>
      </c>
      <c r="Q25" s="552"/>
      <c r="R25" s="169"/>
      <c r="S25" s="169"/>
      <c r="T25" s="169"/>
    </row>
    <row r="26" spans="1:20" ht="18" customHeight="1" thickBot="1" x14ac:dyDescent="0.35">
      <c r="A26" s="169"/>
      <c r="B26" s="169"/>
      <c r="C26" s="169"/>
      <c r="D26" s="520" t="s">
        <v>219</v>
      </c>
      <c r="E26" s="521"/>
      <c r="F26" s="521"/>
      <c r="G26" s="521"/>
      <c r="H26" s="521"/>
      <c r="I26" s="522"/>
      <c r="J26" s="523">
        <v>2</v>
      </c>
      <c r="K26" s="524"/>
      <c r="L26" s="525">
        <v>176</v>
      </c>
      <c r="M26" s="526"/>
      <c r="N26" s="526"/>
      <c r="O26" s="527"/>
      <c r="P26" s="528">
        <f>J26*L26</f>
        <v>352</v>
      </c>
      <c r="Q26" s="529"/>
      <c r="R26" s="169"/>
      <c r="S26" s="169"/>
      <c r="T26" s="169"/>
    </row>
    <row r="27" spans="1:20" ht="18" customHeight="1" thickBot="1" x14ac:dyDescent="0.35">
      <c r="A27" s="169"/>
      <c r="B27" s="169"/>
      <c r="C27" s="169"/>
      <c r="D27" s="520" t="s">
        <v>207</v>
      </c>
      <c r="E27" s="521"/>
      <c r="F27" s="521"/>
      <c r="G27" s="521"/>
      <c r="H27" s="521"/>
      <c r="I27" s="522"/>
      <c r="J27" s="523">
        <v>2</v>
      </c>
      <c r="K27" s="524"/>
      <c r="L27" s="525">
        <v>176</v>
      </c>
      <c r="M27" s="526"/>
      <c r="N27" s="526"/>
      <c r="O27" s="527"/>
      <c r="P27" s="528">
        <f>J27*L27</f>
        <v>352</v>
      </c>
      <c r="Q27" s="529"/>
      <c r="R27" s="169"/>
      <c r="S27" s="169"/>
      <c r="T27" s="169"/>
    </row>
    <row r="28" spans="1:20" ht="18" customHeight="1" thickBot="1" x14ac:dyDescent="0.35">
      <c r="A28" s="169"/>
      <c r="B28" s="169"/>
      <c r="C28" s="169"/>
      <c r="D28" s="520" t="s">
        <v>208</v>
      </c>
      <c r="E28" s="521"/>
      <c r="F28" s="521"/>
      <c r="G28" s="521"/>
      <c r="H28" s="521"/>
      <c r="I28" s="522"/>
      <c r="J28" s="523">
        <v>1</v>
      </c>
      <c r="K28" s="524"/>
      <c r="L28" s="525">
        <v>132</v>
      </c>
      <c r="M28" s="526"/>
      <c r="N28" s="526"/>
      <c r="O28" s="527"/>
      <c r="P28" s="528">
        <f>J28*L28</f>
        <v>132</v>
      </c>
      <c r="Q28" s="529"/>
      <c r="R28" s="169"/>
      <c r="S28" s="169"/>
      <c r="T28" s="169"/>
    </row>
    <row r="29" spans="1:20" ht="18" customHeight="1" thickBot="1" x14ac:dyDescent="0.35">
      <c r="A29" s="169"/>
      <c r="B29" s="169"/>
      <c r="C29" s="169"/>
      <c r="D29" s="520"/>
      <c r="E29" s="521"/>
      <c r="F29" s="521"/>
      <c r="G29" s="521"/>
      <c r="H29" s="521"/>
      <c r="I29" s="522"/>
      <c r="J29" s="523"/>
      <c r="K29" s="524"/>
      <c r="L29" s="525"/>
      <c r="M29" s="526"/>
      <c r="N29" s="526"/>
      <c r="O29" s="527"/>
      <c r="P29" s="528">
        <f t="shared" ref="P29:P31" si="0">J29*L29</f>
        <v>0</v>
      </c>
      <c r="Q29" s="529"/>
      <c r="R29" s="169"/>
      <c r="S29" s="169"/>
      <c r="T29" s="169"/>
    </row>
    <row r="30" spans="1:20" ht="18" customHeight="1" thickBot="1" x14ac:dyDescent="0.35">
      <c r="A30" s="169"/>
      <c r="B30" s="169"/>
      <c r="C30" s="169"/>
      <c r="D30" s="520"/>
      <c r="E30" s="521"/>
      <c r="F30" s="521"/>
      <c r="G30" s="521"/>
      <c r="H30" s="521"/>
      <c r="I30" s="522"/>
      <c r="J30" s="523"/>
      <c r="K30" s="524"/>
      <c r="L30" s="525"/>
      <c r="M30" s="526"/>
      <c r="N30" s="526"/>
      <c r="O30" s="527"/>
      <c r="P30" s="528">
        <f t="shared" si="0"/>
        <v>0</v>
      </c>
      <c r="Q30" s="529"/>
      <c r="R30" s="169"/>
      <c r="S30" s="169"/>
      <c r="T30" s="169"/>
    </row>
    <row r="31" spans="1:20" ht="18" customHeight="1" thickBot="1" x14ac:dyDescent="0.35">
      <c r="A31" s="169"/>
      <c r="B31" s="169"/>
      <c r="C31" s="169"/>
      <c r="D31" s="520"/>
      <c r="E31" s="521"/>
      <c r="F31" s="521"/>
      <c r="G31" s="521"/>
      <c r="H31" s="521"/>
      <c r="I31" s="522"/>
      <c r="J31" s="523"/>
      <c r="K31" s="524"/>
      <c r="L31" s="525"/>
      <c r="M31" s="526"/>
      <c r="N31" s="526"/>
      <c r="O31" s="527"/>
      <c r="P31" s="528">
        <f t="shared" si="0"/>
        <v>0</v>
      </c>
      <c r="Q31" s="529"/>
      <c r="R31" s="169"/>
      <c r="S31" s="169"/>
      <c r="T31" s="169"/>
    </row>
    <row r="32" spans="1:20" ht="18" customHeight="1" thickBot="1" x14ac:dyDescent="0.35">
      <c r="A32" s="169"/>
      <c r="B32" s="169"/>
      <c r="C32" s="169"/>
      <c r="D32" s="530" t="s">
        <v>220</v>
      </c>
      <c r="E32" s="531"/>
      <c r="F32" s="531"/>
      <c r="G32" s="531"/>
      <c r="H32" s="531"/>
      <c r="I32" s="531"/>
      <c r="J32" s="531"/>
      <c r="K32" s="531"/>
      <c r="L32" s="531"/>
      <c r="M32" s="532"/>
      <c r="N32" s="533">
        <f>SUM(P26:Q31)</f>
        <v>836</v>
      </c>
      <c r="O32" s="534"/>
      <c r="P32" s="534"/>
      <c r="Q32" s="535"/>
      <c r="R32" s="169"/>
      <c r="S32" s="169"/>
      <c r="T32" s="169"/>
    </row>
    <row r="33" spans="1:20" ht="30" customHeight="1" thickBot="1" x14ac:dyDescent="0.35">
      <c r="A33" s="169"/>
      <c r="B33" s="169"/>
      <c r="C33" s="169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8"/>
      <c r="O33" s="218"/>
      <c r="P33" s="218"/>
      <c r="Q33" s="218"/>
      <c r="R33" s="169"/>
      <c r="S33" s="169"/>
      <c r="T33" s="169"/>
    </row>
    <row r="34" spans="1:20" ht="18" customHeight="1" x14ac:dyDescent="0.3">
      <c r="A34" s="169"/>
      <c r="B34" s="169"/>
      <c r="C34" s="169"/>
      <c r="D34" s="566" t="s">
        <v>221</v>
      </c>
      <c r="E34" s="567"/>
      <c r="F34" s="567"/>
      <c r="G34" s="567"/>
      <c r="H34" s="567"/>
      <c r="I34" s="567"/>
      <c r="J34" s="567"/>
      <c r="K34" s="567"/>
      <c r="L34" s="567"/>
      <c r="M34" s="567"/>
      <c r="N34" s="567"/>
      <c r="O34" s="567"/>
      <c r="P34" s="567"/>
      <c r="Q34" s="568"/>
      <c r="R34" s="169"/>
      <c r="S34" s="169"/>
      <c r="T34" s="169"/>
    </row>
    <row r="35" spans="1:20" ht="18" customHeight="1" thickBot="1" x14ac:dyDescent="0.35">
      <c r="A35" s="169"/>
      <c r="B35" s="169"/>
      <c r="C35" s="169"/>
      <c r="D35" s="569"/>
      <c r="E35" s="570"/>
      <c r="F35" s="570"/>
      <c r="G35" s="570"/>
      <c r="H35" s="570"/>
      <c r="I35" s="570"/>
      <c r="J35" s="570"/>
      <c r="K35" s="570"/>
      <c r="L35" s="570"/>
      <c r="M35" s="570"/>
      <c r="N35" s="570"/>
      <c r="O35" s="570"/>
      <c r="P35" s="570"/>
      <c r="Q35" s="571"/>
      <c r="R35" s="169"/>
      <c r="S35" s="169"/>
      <c r="T35" s="169"/>
    </row>
    <row r="36" spans="1:20" ht="18" customHeight="1" thickBot="1" x14ac:dyDescent="0.35">
      <c r="A36" s="169"/>
      <c r="B36" s="169"/>
      <c r="C36" s="169"/>
      <c r="D36" s="563" t="s">
        <v>202</v>
      </c>
      <c r="E36" s="563"/>
      <c r="F36" s="563"/>
      <c r="G36" s="563"/>
      <c r="H36" s="563"/>
      <c r="I36" s="563"/>
      <c r="J36" s="565" t="s">
        <v>47</v>
      </c>
      <c r="K36" s="565"/>
      <c r="L36" s="530" t="s">
        <v>203</v>
      </c>
      <c r="M36" s="532"/>
      <c r="N36" s="551" t="s">
        <v>204</v>
      </c>
      <c r="O36" s="552"/>
      <c r="P36" s="565" t="s">
        <v>205</v>
      </c>
      <c r="Q36" s="565"/>
      <c r="R36" s="169"/>
      <c r="S36" s="169"/>
      <c r="T36" s="169"/>
    </row>
    <row r="37" spans="1:20" ht="18" customHeight="1" thickBot="1" x14ac:dyDescent="0.35">
      <c r="A37" s="169"/>
      <c r="B37" s="169"/>
      <c r="C37" s="169"/>
      <c r="D37" s="520" t="s">
        <v>222</v>
      </c>
      <c r="E37" s="521"/>
      <c r="F37" s="521"/>
      <c r="G37" s="521"/>
      <c r="H37" s="521"/>
      <c r="I37" s="522"/>
      <c r="J37" s="523">
        <v>1</v>
      </c>
      <c r="K37" s="524"/>
      <c r="L37" s="561">
        <v>10000</v>
      </c>
      <c r="M37" s="562"/>
      <c r="N37" s="556">
        <v>1</v>
      </c>
      <c r="O37" s="557"/>
      <c r="P37" s="558">
        <f>J37*L37*N37</f>
        <v>10000</v>
      </c>
      <c r="Q37" s="559"/>
      <c r="R37" s="169"/>
      <c r="S37" s="169"/>
      <c r="T37" s="169"/>
    </row>
    <row r="38" spans="1:20" ht="18" customHeight="1" thickBot="1" x14ac:dyDescent="0.35">
      <c r="A38" s="169"/>
      <c r="B38" s="169"/>
      <c r="C38" s="169"/>
      <c r="D38" s="520"/>
      <c r="E38" s="521"/>
      <c r="F38" s="521"/>
      <c r="G38" s="521"/>
      <c r="H38" s="521"/>
      <c r="I38" s="522"/>
      <c r="J38" s="523"/>
      <c r="K38" s="524"/>
      <c r="L38" s="561"/>
      <c r="M38" s="562"/>
      <c r="N38" s="556"/>
      <c r="O38" s="557"/>
      <c r="P38" s="558">
        <f>J38*L38*N38</f>
        <v>0</v>
      </c>
      <c r="Q38" s="559"/>
      <c r="R38" s="169"/>
      <c r="S38" s="169"/>
      <c r="T38" s="169"/>
    </row>
    <row r="39" spans="1:20" ht="18" customHeight="1" thickBot="1" x14ac:dyDescent="0.35">
      <c r="A39" s="169"/>
      <c r="B39" s="169"/>
      <c r="C39" s="169"/>
      <c r="D39" s="520"/>
      <c r="E39" s="521"/>
      <c r="F39" s="521"/>
      <c r="G39" s="521"/>
      <c r="H39" s="521"/>
      <c r="I39" s="522"/>
      <c r="J39" s="523"/>
      <c r="K39" s="524"/>
      <c r="L39" s="561"/>
      <c r="M39" s="562"/>
      <c r="N39" s="556"/>
      <c r="O39" s="557"/>
      <c r="P39" s="558">
        <f>J39*L39*N39</f>
        <v>0</v>
      </c>
      <c r="Q39" s="559"/>
      <c r="R39" s="169"/>
      <c r="S39" s="169"/>
      <c r="T39" s="169"/>
    </row>
    <row r="40" spans="1:20" ht="18" customHeight="1" thickBot="1" x14ac:dyDescent="0.35">
      <c r="A40" s="169"/>
      <c r="B40" s="169"/>
      <c r="C40" s="169"/>
      <c r="D40" s="520"/>
      <c r="E40" s="521"/>
      <c r="F40" s="521"/>
      <c r="G40" s="521"/>
      <c r="H40" s="521"/>
      <c r="I40" s="522"/>
      <c r="J40" s="523"/>
      <c r="K40" s="524"/>
      <c r="L40" s="561"/>
      <c r="M40" s="562"/>
      <c r="N40" s="556"/>
      <c r="O40" s="557"/>
      <c r="P40" s="558">
        <f>J40*L40*N40</f>
        <v>0</v>
      </c>
      <c r="Q40" s="559"/>
      <c r="R40" s="169"/>
      <c r="S40" s="169"/>
      <c r="T40" s="169"/>
    </row>
    <row r="41" spans="1:20" ht="18" customHeight="1" thickBot="1" x14ac:dyDescent="0.35">
      <c r="A41" s="169"/>
      <c r="B41" s="169"/>
      <c r="C41" s="169"/>
      <c r="D41" s="520"/>
      <c r="E41" s="521"/>
      <c r="F41" s="521"/>
      <c r="G41" s="521"/>
      <c r="H41" s="521"/>
      <c r="I41" s="522"/>
      <c r="J41" s="523"/>
      <c r="K41" s="524"/>
      <c r="L41" s="561"/>
      <c r="M41" s="562"/>
      <c r="N41" s="556"/>
      <c r="O41" s="557"/>
      <c r="P41" s="558">
        <f>J41*L41*N41</f>
        <v>0</v>
      </c>
      <c r="Q41" s="559"/>
      <c r="R41" s="169"/>
      <c r="S41" s="169"/>
      <c r="T41" s="169"/>
    </row>
    <row r="42" spans="1:20" ht="18" customHeight="1" thickBot="1" x14ac:dyDescent="0.35">
      <c r="A42" s="169"/>
      <c r="B42" s="169"/>
      <c r="C42" s="169"/>
      <c r="D42" s="563" t="s">
        <v>209</v>
      </c>
      <c r="E42" s="563"/>
      <c r="F42" s="563"/>
      <c r="G42" s="563"/>
      <c r="H42" s="563"/>
      <c r="I42" s="563"/>
      <c r="J42" s="565" t="s">
        <v>47</v>
      </c>
      <c r="K42" s="565"/>
      <c r="L42" s="530" t="s">
        <v>203</v>
      </c>
      <c r="M42" s="532"/>
      <c r="N42" s="551" t="s">
        <v>204</v>
      </c>
      <c r="O42" s="552"/>
      <c r="P42" s="565" t="s">
        <v>205</v>
      </c>
      <c r="Q42" s="565"/>
      <c r="R42" s="169"/>
      <c r="S42" s="169"/>
      <c r="T42" s="169"/>
    </row>
    <row r="43" spans="1:20" ht="18" customHeight="1" thickBot="1" x14ac:dyDescent="0.35">
      <c r="A43" s="169"/>
      <c r="B43" s="169"/>
      <c r="C43" s="169"/>
      <c r="D43" s="520"/>
      <c r="E43" s="521"/>
      <c r="F43" s="521"/>
      <c r="G43" s="521"/>
      <c r="H43" s="521"/>
      <c r="I43" s="522"/>
      <c r="J43" s="523"/>
      <c r="K43" s="524"/>
      <c r="L43" s="561"/>
      <c r="M43" s="562"/>
      <c r="N43" s="556"/>
      <c r="O43" s="557"/>
      <c r="P43" s="558">
        <f>J43*L43*N43</f>
        <v>0</v>
      </c>
      <c r="Q43" s="559"/>
      <c r="R43" s="169"/>
      <c r="S43" s="169"/>
      <c r="T43" s="169"/>
    </row>
    <row r="44" spans="1:20" ht="18" customHeight="1" thickBot="1" x14ac:dyDescent="0.35">
      <c r="A44" s="169"/>
      <c r="B44" s="169"/>
      <c r="C44" s="169"/>
      <c r="D44" s="520"/>
      <c r="E44" s="521"/>
      <c r="F44" s="521"/>
      <c r="G44" s="521"/>
      <c r="H44" s="521"/>
      <c r="I44" s="522"/>
      <c r="J44" s="523"/>
      <c r="K44" s="524"/>
      <c r="L44" s="561"/>
      <c r="M44" s="562"/>
      <c r="N44" s="556"/>
      <c r="O44" s="557"/>
      <c r="P44" s="558">
        <f>J44*L44*N44</f>
        <v>0</v>
      </c>
      <c r="Q44" s="559"/>
      <c r="R44" s="169"/>
      <c r="S44" s="169"/>
      <c r="T44" s="169"/>
    </row>
    <row r="45" spans="1:20" ht="18" customHeight="1" thickBot="1" x14ac:dyDescent="0.35">
      <c r="A45" s="169"/>
      <c r="B45" s="169"/>
      <c r="C45" s="169"/>
      <c r="D45" s="563" t="s">
        <v>211</v>
      </c>
      <c r="E45" s="563"/>
      <c r="F45" s="563"/>
      <c r="G45" s="563"/>
      <c r="H45" s="563"/>
      <c r="I45" s="563"/>
      <c r="J45" s="530" t="s">
        <v>212</v>
      </c>
      <c r="K45" s="531"/>
      <c r="L45" s="531"/>
      <c r="M45" s="532"/>
      <c r="N45" s="564" t="s">
        <v>47</v>
      </c>
      <c r="O45" s="541"/>
      <c r="P45" s="565" t="s">
        <v>205</v>
      </c>
      <c r="Q45" s="565"/>
      <c r="R45" s="169"/>
      <c r="S45" s="169"/>
      <c r="T45" s="169"/>
    </row>
    <row r="46" spans="1:20" ht="18" customHeight="1" thickBot="1" x14ac:dyDescent="0.35">
      <c r="A46" s="169"/>
      <c r="B46" s="169"/>
      <c r="C46" s="169"/>
      <c r="D46" s="520"/>
      <c r="E46" s="521"/>
      <c r="F46" s="521"/>
      <c r="G46" s="521"/>
      <c r="H46" s="521"/>
      <c r="I46" s="522"/>
      <c r="J46" s="553"/>
      <c r="K46" s="554"/>
      <c r="L46" s="554"/>
      <c r="M46" s="555"/>
      <c r="N46" s="556"/>
      <c r="O46" s="557"/>
      <c r="P46" s="558">
        <f>J46*N46</f>
        <v>0</v>
      </c>
      <c r="Q46" s="559"/>
      <c r="R46" s="169"/>
      <c r="S46" s="169"/>
      <c r="T46" s="169"/>
    </row>
    <row r="47" spans="1:20" ht="18" customHeight="1" thickBot="1" x14ac:dyDescent="0.35">
      <c r="A47" s="169"/>
      <c r="B47" s="169"/>
      <c r="C47" s="169"/>
      <c r="D47" s="520"/>
      <c r="E47" s="521"/>
      <c r="F47" s="521"/>
      <c r="G47" s="521"/>
      <c r="H47" s="521"/>
      <c r="I47" s="522"/>
      <c r="J47" s="523"/>
      <c r="K47" s="560"/>
      <c r="L47" s="560"/>
      <c r="M47" s="524"/>
      <c r="N47" s="556"/>
      <c r="O47" s="557"/>
      <c r="P47" s="558">
        <f>J47*N47</f>
        <v>0</v>
      </c>
      <c r="Q47" s="559"/>
      <c r="R47" s="169"/>
      <c r="S47" s="169"/>
      <c r="T47" s="169"/>
    </row>
    <row r="48" spans="1:20" ht="18" customHeight="1" thickBot="1" x14ac:dyDescent="0.35">
      <c r="A48" s="169"/>
      <c r="B48" s="169"/>
      <c r="C48" s="169"/>
      <c r="D48" s="520"/>
      <c r="E48" s="521"/>
      <c r="F48" s="521"/>
      <c r="G48" s="521"/>
      <c r="H48" s="521"/>
      <c r="I48" s="522"/>
      <c r="J48" s="523"/>
      <c r="K48" s="560"/>
      <c r="L48" s="560"/>
      <c r="M48" s="524"/>
      <c r="N48" s="556"/>
      <c r="O48" s="557"/>
      <c r="P48" s="558">
        <f>J48*N48</f>
        <v>0</v>
      </c>
      <c r="Q48" s="559"/>
      <c r="R48" s="169"/>
      <c r="S48" s="169"/>
      <c r="T48" s="169"/>
    </row>
    <row r="49" spans="1:20" ht="18" customHeight="1" thickBot="1" x14ac:dyDescent="0.35">
      <c r="A49" s="169"/>
      <c r="B49" s="169"/>
      <c r="C49" s="169"/>
      <c r="D49" s="536" t="s">
        <v>215</v>
      </c>
      <c r="E49" s="537"/>
      <c r="F49" s="537"/>
      <c r="G49" s="537"/>
      <c r="H49" s="537"/>
      <c r="I49" s="537"/>
      <c r="J49" s="537"/>
      <c r="K49" s="537"/>
      <c r="L49" s="537"/>
      <c r="M49" s="538"/>
      <c r="N49" s="539">
        <f>SUM(P37:Q41)+SUM(P43:Q44)+SUM(P46:Q48)</f>
        <v>10000</v>
      </c>
      <c r="O49" s="540"/>
      <c r="P49" s="540"/>
      <c r="Q49" s="541"/>
      <c r="R49" s="169"/>
      <c r="S49" s="169"/>
      <c r="T49" s="169"/>
    </row>
    <row r="50" spans="1:20" ht="18" customHeight="1" thickBot="1" x14ac:dyDescent="0.35">
      <c r="A50" s="169"/>
      <c r="B50" s="169"/>
      <c r="C50" s="169"/>
      <c r="D50" s="542" t="s">
        <v>223</v>
      </c>
      <c r="E50" s="543"/>
      <c r="F50" s="543"/>
      <c r="G50" s="543"/>
      <c r="H50" s="543"/>
      <c r="I50" s="543"/>
      <c r="J50" s="543"/>
      <c r="K50" s="543"/>
      <c r="L50" s="543"/>
      <c r="M50" s="543"/>
      <c r="N50" s="543"/>
      <c r="O50" s="543"/>
      <c r="P50" s="543"/>
      <c r="Q50" s="544"/>
      <c r="R50" s="169"/>
      <c r="S50" s="169"/>
      <c r="T50" s="169"/>
    </row>
    <row r="51" spans="1:20" ht="18" customHeight="1" thickBot="1" x14ac:dyDescent="0.35">
      <c r="A51" s="169"/>
      <c r="B51" s="169"/>
      <c r="C51" s="169"/>
      <c r="D51" s="545" t="s">
        <v>202</v>
      </c>
      <c r="E51" s="546"/>
      <c r="F51" s="546"/>
      <c r="G51" s="546"/>
      <c r="H51" s="546"/>
      <c r="I51" s="547"/>
      <c r="J51" s="530" t="s">
        <v>47</v>
      </c>
      <c r="K51" s="532"/>
      <c r="L51" s="548" t="s">
        <v>217</v>
      </c>
      <c r="M51" s="549"/>
      <c r="N51" s="549"/>
      <c r="O51" s="550"/>
      <c r="P51" s="551" t="s">
        <v>218</v>
      </c>
      <c r="Q51" s="552"/>
      <c r="R51" s="169"/>
      <c r="S51" s="169"/>
      <c r="T51" s="169"/>
    </row>
    <row r="52" spans="1:20" ht="18" customHeight="1" thickBot="1" x14ac:dyDescent="0.35">
      <c r="A52" s="169"/>
      <c r="B52" s="169"/>
      <c r="C52" s="169"/>
      <c r="D52" s="520" t="s">
        <v>222</v>
      </c>
      <c r="E52" s="521"/>
      <c r="F52" s="521"/>
      <c r="G52" s="521"/>
      <c r="H52" s="521"/>
      <c r="I52" s="522"/>
      <c r="J52" s="523">
        <v>1</v>
      </c>
      <c r="K52" s="524"/>
      <c r="L52" s="525">
        <v>176</v>
      </c>
      <c r="M52" s="526"/>
      <c r="N52" s="526"/>
      <c r="O52" s="527"/>
      <c r="P52" s="528">
        <f>J52*L52</f>
        <v>176</v>
      </c>
      <c r="Q52" s="529"/>
      <c r="R52" s="169"/>
      <c r="S52" s="169"/>
      <c r="T52" s="169"/>
    </row>
    <row r="53" spans="1:20" ht="18" customHeight="1" thickBot="1" x14ac:dyDescent="0.35">
      <c r="A53" s="169"/>
      <c r="B53" s="169"/>
      <c r="C53" s="169"/>
      <c r="D53" s="520"/>
      <c r="E53" s="521"/>
      <c r="F53" s="521"/>
      <c r="G53" s="521"/>
      <c r="H53" s="521"/>
      <c r="I53" s="522"/>
      <c r="J53" s="523"/>
      <c r="K53" s="524"/>
      <c r="L53" s="525"/>
      <c r="M53" s="526"/>
      <c r="N53" s="526"/>
      <c r="O53" s="527"/>
      <c r="P53" s="528">
        <f>J53*L53</f>
        <v>0</v>
      </c>
      <c r="Q53" s="529"/>
      <c r="R53" s="169"/>
      <c r="S53" s="169"/>
      <c r="T53" s="169"/>
    </row>
    <row r="54" spans="1:20" ht="18" customHeight="1" thickBot="1" x14ac:dyDescent="0.35">
      <c r="A54" s="169"/>
      <c r="B54" s="169"/>
      <c r="C54" s="169"/>
      <c r="D54" s="520"/>
      <c r="E54" s="521"/>
      <c r="F54" s="521"/>
      <c r="G54" s="521"/>
      <c r="H54" s="521"/>
      <c r="I54" s="522"/>
      <c r="J54" s="523"/>
      <c r="K54" s="524"/>
      <c r="L54" s="525"/>
      <c r="M54" s="526"/>
      <c r="N54" s="526"/>
      <c r="O54" s="527"/>
      <c r="P54" s="528">
        <f>J54*L54</f>
        <v>0</v>
      </c>
      <c r="Q54" s="529"/>
      <c r="R54" s="169"/>
      <c r="S54" s="169"/>
      <c r="T54" s="169"/>
    </row>
    <row r="55" spans="1:20" ht="18" customHeight="1" thickBot="1" x14ac:dyDescent="0.35">
      <c r="A55" s="169"/>
      <c r="B55" s="169"/>
      <c r="C55" s="169"/>
      <c r="D55" s="520"/>
      <c r="E55" s="521"/>
      <c r="F55" s="521"/>
      <c r="G55" s="521"/>
      <c r="H55" s="521"/>
      <c r="I55" s="522"/>
      <c r="J55" s="523"/>
      <c r="K55" s="524"/>
      <c r="L55" s="525"/>
      <c r="M55" s="526"/>
      <c r="N55" s="526"/>
      <c r="O55" s="527"/>
      <c r="P55" s="528">
        <f t="shared" ref="P55:P57" si="1">J55*L55</f>
        <v>0</v>
      </c>
      <c r="Q55" s="529"/>
      <c r="R55" s="169"/>
      <c r="S55" s="169"/>
      <c r="T55" s="169"/>
    </row>
    <row r="56" spans="1:20" ht="18" customHeight="1" thickBot="1" x14ac:dyDescent="0.35">
      <c r="A56" s="169"/>
      <c r="B56" s="169"/>
      <c r="C56" s="169"/>
      <c r="D56" s="520"/>
      <c r="E56" s="521"/>
      <c r="F56" s="521"/>
      <c r="G56" s="521"/>
      <c r="H56" s="521"/>
      <c r="I56" s="522"/>
      <c r="J56" s="523"/>
      <c r="K56" s="524"/>
      <c r="L56" s="525"/>
      <c r="M56" s="526"/>
      <c r="N56" s="526"/>
      <c r="O56" s="527"/>
      <c r="P56" s="528">
        <f t="shared" si="1"/>
        <v>0</v>
      </c>
      <c r="Q56" s="529"/>
      <c r="R56" s="169"/>
      <c r="S56" s="169"/>
      <c r="T56" s="169"/>
    </row>
    <row r="57" spans="1:20" ht="18" customHeight="1" thickBot="1" x14ac:dyDescent="0.35">
      <c r="A57" s="169"/>
      <c r="B57" s="169"/>
      <c r="C57" s="169"/>
      <c r="D57" s="520"/>
      <c r="E57" s="521"/>
      <c r="F57" s="521"/>
      <c r="G57" s="521"/>
      <c r="H57" s="521"/>
      <c r="I57" s="522"/>
      <c r="J57" s="523"/>
      <c r="K57" s="524"/>
      <c r="L57" s="525"/>
      <c r="M57" s="526"/>
      <c r="N57" s="526"/>
      <c r="O57" s="527"/>
      <c r="P57" s="528">
        <f t="shared" si="1"/>
        <v>0</v>
      </c>
      <c r="Q57" s="529"/>
      <c r="R57" s="169"/>
      <c r="S57" s="169"/>
      <c r="T57" s="169"/>
    </row>
    <row r="58" spans="1:20" ht="18" customHeight="1" thickBot="1" x14ac:dyDescent="0.35">
      <c r="A58" s="169"/>
      <c r="B58" s="169"/>
      <c r="C58" s="169"/>
      <c r="D58" s="530" t="s">
        <v>220</v>
      </c>
      <c r="E58" s="531"/>
      <c r="F58" s="531"/>
      <c r="G58" s="531"/>
      <c r="H58" s="531"/>
      <c r="I58" s="531"/>
      <c r="J58" s="531"/>
      <c r="K58" s="531"/>
      <c r="L58" s="531"/>
      <c r="M58" s="532"/>
      <c r="N58" s="533">
        <f>SUM(P52:Q57)</f>
        <v>176</v>
      </c>
      <c r="O58" s="534"/>
      <c r="P58" s="534"/>
      <c r="Q58" s="535"/>
      <c r="R58" s="169"/>
      <c r="S58" s="169"/>
      <c r="T58" s="169"/>
    </row>
    <row r="59" spans="1:20" ht="30" customHeight="1" thickBot="1" x14ac:dyDescent="0.35">
      <c r="A59" s="169"/>
      <c r="B59" s="169"/>
      <c r="C59" s="169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8"/>
      <c r="O59" s="218"/>
      <c r="P59" s="218"/>
      <c r="Q59" s="218"/>
      <c r="R59" s="169"/>
      <c r="S59" s="169"/>
      <c r="T59" s="169"/>
    </row>
    <row r="60" spans="1:20" ht="18" customHeight="1" x14ac:dyDescent="0.3">
      <c r="A60" s="169"/>
      <c r="B60" s="169"/>
      <c r="C60" s="169"/>
      <c r="D60" s="566" t="s">
        <v>224</v>
      </c>
      <c r="E60" s="567"/>
      <c r="F60" s="567"/>
      <c r="G60" s="567"/>
      <c r="H60" s="567"/>
      <c r="I60" s="567"/>
      <c r="J60" s="567"/>
      <c r="K60" s="567"/>
      <c r="L60" s="567"/>
      <c r="M60" s="567"/>
      <c r="N60" s="567"/>
      <c r="O60" s="567"/>
      <c r="P60" s="567"/>
      <c r="Q60" s="568"/>
      <c r="R60" s="169"/>
      <c r="S60" s="169"/>
      <c r="T60" s="169"/>
    </row>
    <row r="61" spans="1:20" ht="18" customHeight="1" thickBot="1" x14ac:dyDescent="0.35">
      <c r="A61" s="169"/>
      <c r="B61" s="169"/>
      <c r="C61" s="169"/>
      <c r="D61" s="569"/>
      <c r="E61" s="570"/>
      <c r="F61" s="570"/>
      <c r="G61" s="570"/>
      <c r="H61" s="570"/>
      <c r="I61" s="570"/>
      <c r="J61" s="570"/>
      <c r="K61" s="570"/>
      <c r="L61" s="570"/>
      <c r="M61" s="570"/>
      <c r="N61" s="570"/>
      <c r="O61" s="570"/>
      <c r="P61" s="570"/>
      <c r="Q61" s="571"/>
      <c r="R61" s="169"/>
      <c r="S61" s="169"/>
      <c r="T61" s="169"/>
    </row>
    <row r="62" spans="1:20" ht="18" customHeight="1" thickBot="1" x14ac:dyDescent="0.35">
      <c r="A62" s="169"/>
      <c r="B62" s="169"/>
      <c r="C62" s="169"/>
      <c r="D62" s="563" t="s">
        <v>202</v>
      </c>
      <c r="E62" s="563"/>
      <c r="F62" s="563"/>
      <c r="G62" s="563"/>
      <c r="H62" s="563"/>
      <c r="I62" s="563"/>
      <c r="J62" s="565" t="s">
        <v>47</v>
      </c>
      <c r="K62" s="565"/>
      <c r="L62" s="530" t="s">
        <v>203</v>
      </c>
      <c r="M62" s="532"/>
      <c r="N62" s="551" t="s">
        <v>204</v>
      </c>
      <c r="O62" s="552"/>
      <c r="P62" s="565" t="s">
        <v>205</v>
      </c>
      <c r="Q62" s="565"/>
      <c r="R62" s="169"/>
      <c r="S62" s="169"/>
      <c r="T62" s="169"/>
    </row>
    <row r="63" spans="1:20" ht="18" customHeight="1" thickBot="1" x14ac:dyDescent="0.35">
      <c r="A63" s="169"/>
      <c r="B63" s="169"/>
      <c r="C63" s="169"/>
      <c r="D63" s="520" t="s">
        <v>225</v>
      </c>
      <c r="E63" s="521"/>
      <c r="F63" s="521"/>
      <c r="G63" s="521"/>
      <c r="H63" s="521"/>
      <c r="I63" s="522"/>
      <c r="J63" s="523">
        <v>1</v>
      </c>
      <c r="K63" s="524"/>
      <c r="L63" s="561">
        <v>8000</v>
      </c>
      <c r="M63" s="562"/>
      <c r="N63" s="556">
        <v>1</v>
      </c>
      <c r="O63" s="557"/>
      <c r="P63" s="558">
        <f>J63*L63*N63</f>
        <v>8000</v>
      </c>
      <c r="Q63" s="559"/>
      <c r="R63" s="169"/>
      <c r="S63" s="169"/>
      <c r="T63" s="169"/>
    </row>
    <row r="64" spans="1:20" ht="18" customHeight="1" thickBot="1" x14ac:dyDescent="0.35">
      <c r="A64" s="169"/>
      <c r="B64" s="169"/>
      <c r="C64" s="169"/>
      <c r="D64" s="520"/>
      <c r="E64" s="521"/>
      <c r="F64" s="521"/>
      <c r="G64" s="521"/>
      <c r="H64" s="521"/>
      <c r="I64" s="522"/>
      <c r="J64" s="523"/>
      <c r="K64" s="524"/>
      <c r="L64" s="561"/>
      <c r="M64" s="562"/>
      <c r="N64" s="556"/>
      <c r="O64" s="557"/>
      <c r="P64" s="558">
        <f>J64*L64*N64</f>
        <v>0</v>
      </c>
      <c r="Q64" s="559"/>
      <c r="R64" s="169"/>
      <c r="S64" s="169"/>
      <c r="T64" s="169"/>
    </row>
    <row r="65" spans="1:20" ht="18" customHeight="1" thickBot="1" x14ac:dyDescent="0.35">
      <c r="A65" s="169"/>
      <c r="B65" s="169"/>
      <c r="C65" s="169"/>
      <c r="D65" s="520"/>
      <c r="E65" s="521"/>
      <c r="F65" s="521"/>
      <c r="G65" s="521"/>
      <c r="H65" s="521"/>
      <c r="I65" s="522"/>
      <c r="J65" s="523"/>
      <c r="K65" s="524"/>
      <c r="L65" s="561"/>
      <c r="M65" s="562"/>
      <c r="N65" s="556"/>
      <c r="O65" s="557"/>
      <c r="P65" s="558">
        <f>J65*L65*N65</f>
        <v>0</v>
      </c>
      <c r="Q65" s="559"/>
      <c r="R65" s="169"/>
      <c r="S65" s="169"/>
      <c r="T65" s="169"/>
    </row>
    <row r="66" spans="1:20" ht="18" customHeight="1" thickBot="1" x14ac:dyDescent="0.35">
      <c r="A66" s="169"/>
      <c r="B66" s="169"/>
      <c r="C66" s="169"/>
      <c r="D66" s="520"/>
      <c r="E66" s="521"/>
      <c r="F66" s="521"/>
      <c r="G66" s="521"/>
      <c r="H66" s="521"/>
      <c r="I66" s="522"/>
      <c r="J66" s="523"/>
      <c r="K66" s="524"/>
      <c r="L66" s="561"/>
      <c r="M66" s="562"/>
      <c r="N66" s="556"/>
      <c r="O66" s="557"/>
      <c r="P66" s="558">
        <f>J66*L66*N66</f>
        <v>0</v>
      </c>
      <c r="Q66" s="559"/>
      <c r="R66" s="169"/>
      <c r="S66" s="169"/>
      <c r="T66" s="169"/>
    </row>
    <row r="67" spans="1:20" ht="18" customHeight="1" thickBot="1" x14ac:dyDescent="0.35">
      <c r="A67" s="169"/>
      <c r="B67" s="169"/>
      <c r="C67" s="169"/>
      <c r="D67" s="520"/>
      <c r="E67" s="521"/>
      <c r="F67" s="521"/>
      <c r="G67" s="521"/>
      <c r="H67" s="521"/>
      <c r="I67" s="522"/>
      <c r="J67" s="523"/>
      <c r="K67" s="524"/>
      <c r="L67" s="561"/>
      <c r="M67" s="562"/>
      <c r="N67" s="556"/>
      <c r="O67" s="557"/>
      <c r="P67" s="558">
        <f>J67*L67*N67</f>
        <v>0</v>
      </c>
      <c r="Q67" s="559"/>
      <c r="R67" s="169"/>
      <c r="S67" s="169"/>
      <c r="T67" s="169"/>
    </row>
    <row r="68" spans="1:20" ht="18" customHeight="1" thickBot="1" x14ac:dyDescent="0.35">
      <c r="A68" s="169"/>
      <c r="B68" s="169"/>
      <c r="C68" s="169"/>
      <c r="D68" s="563" t="s">
        <v>209</v>
      </c>
      <c r="E68" s="563"/>
      <c r="F68" s="563"/>
      <c r="G68" s="563"/>
      <c r="H68" s="563"/>
      <c r="I68" s="563"/>
      <c r="J68" s="565" t="s">
        <v>47</v>
      </c>
      <c r="K68" s="565"/>
      <c r="L68" s="530" t="s">
        <v>203</v>
      </c>
      <c r="M68" s="532"/>
      <c r="N68" s="551" t="s">
        <v>204</v>
      </c>
      <c r="O68" s="552"/>
      <c r="P68" s="565" t="s">
        <v>205</v>
      </c>
      <c r="Q68" s="565"/>
      <c r="R68" s="169"/>
      <c r="S68" s="169"/>
      <c r="T68" s="169"/>
    </row>
    <row r="69" spans="1:20" ht="18" customHeight="1" thickBot="1" x14ac:dyDescent="0.35">
      <c r="A69" s="169"/>
      <c r="B69" s="169"/>
      <c r="C69" s="169"/>
      <c r="D69" s="520"/>
      <c r="E69" s="521"/>
      <c r="F69" s="521"/>
      <c r="G69" s="521"/>
      <c r="H69" s="521"/>
      <c r="I69" s="522"/>
      <c r="J69" s="523"/>
      <c r="K69" s="524"/>
      <c r="L69" s="561"/>
      <c r="M69" s="562"/>
      <c r="N69" s="556"/>
      <c r="O69" s="557"/>
      <c r="P69" s="558">
        <f>J69*L69*N69</f>
        <v>0</v>
      </c>
      <c r="Q69" s="559"/>
      <c r="R69" s="169"/>
      <c r="S69" s="169"/>
      <c r="T69" s="169"/>
    </row>
    <row r="70" spans="1:20" ht="18" customHeight="1" thickBot="1" x14ac:dyDescent="0.35">
      <c r="A70" s="169"/>
      <c r="B70" s="169"/>
      <c r="C70" s="169"/>
      <c r="D70" s="520"/>
      <c r="E70" s="521"/>
      <c r="F70" s="521"/>
      <c r="G70" s="521"/>
      <c r="H70" s="521"/>
      <c r="I70" s="522"/>
      <c r="J70" s="523"/>
      <c r="K70" s="524"/>
      <c r="L70" s="561"/>
      <c r="M70" s="562"/>
      <c r="N70" s="556"/>
      <c r="O70" s="557"/>
      <c r="P70" s="558">
        <f>J70*L70*N70</f>
        <v>0</v>
      </c>
      <c r="Q70" s="559"/>
      <c r="R70" s="169"/>
      <c r="S70" s="169"/>
      <c r="T70" s="169"/>
    </row>
    <row r="71" spans="1:20" ht="18" customHeight="1" thickBot="1" x14ac:dyDescent="0.35">
      <c r="A71" s="169"/>
      <c r="B71" s="169"/>
      <c r="C71" s="169"/>
      <c r="D71" s="563" t="s">
        <v>211</v>
      </c>
      <c r="E71" s="563"/>
      <c r="F71" s="563"/>
      <c r="G71" s="563"/>
      <c r="H71" s="563"/>
      <c r="I71" s="563"/>
      <c r="J71" s="530" t="s">
        <v>212</v>
      </c>
      <c r="K71" s="531"/>
      <c r="L71" s="531"/>
      <c r="M71" s="532"/>
      <c r="N71" s="564" t="s">
        <v>47</v>
      </c>
      <c r="O71" s="541"/>
      <c r="P71" s="565" t="s">
        <v>205</v>
      </c>
      <c r="Q71" s="565"/>
      <c r="R71" s="169"/>
      <c r="S71" s="169"/>
      <c r="T71" s="169"/>
    </row>
    <row r="72" spans="1:20" ht="18" customHeight="1" thickBot="1" x14ac:dyDescent="0.35">
      <c r="A72" s="169"/>
      <c r="B72" s="169"/>
      <c r="C72" s="169"/>
      <c r="D72" s="520"/>
      <c r="E72" s="521"/>
      <c r="F72" s="521"/>
      <c r="G72" s="521"/>
      <c r="H72" s="521"/>
      <c r="I72" s="522"/>
      <c r="J72" s="553"/>
      <c r="K72" s="554"/>
      <c r="L72" s="554"/>
      <c r="M72" s="555"/>
      <c r="N72" s="556"/>
      <c r="O72" s="557"/>
      <c r="P72" s="558">
        <f>J72*N72</f>
        <v>0</v>
      </c>
      <c r="Q72" s="559"/>
      <c r="R72" s="169"/>
      <c r="S72" s="169"/>
      <c r="T72" s="169"/>
    </row>
    <row r="73" spans="1:20" ht="18" customHeight="1" thickBot="1" x14ac:dyDescent="0.35">
      <c r="A73" s="169"/>
      <c r="B73" s="169"/>
      <c r="C73" s="169"/>
      <c r="D73" s="520"/>
      <c r="E73" s="521"/>
      <c r="F73" s="521"/>
      <c r="G73" s="521"/>
      <c r="H73" s="521"/>
      <c r="I73" s="522"/>
      <c r="J73" s="523"/>
      <c r="K73" s="560"/>
      <c r="L73" s="560"/>
      <c r="M73" s="524"/>
      <c r="N73" s="556"/>
      <c r="O73" s="557"/>
      <c r="P73" s="558">
        <f>J73*N73</f>
        <v>0</v>
      </c>
      <c r="Q73" s="559"/>
      <c r="R73" s="169"/>
      <c r="S73" s="169"/>
      <c r="T73" s="169"/>
    </row>
    <row r="74" spans="1:20" ht="18" customHeight="1" thickBot="1" x14ac:dyDescent="0.35">
      <c r="A74" s="169"/>
      <c r="B74" s="169"/>
      <c r="C74" s="169"/>
      <c r="D74" s="520"/>
      <c r="E74" s="521"/>
      <c r="F74" s="521"/>
      <c r="G74" s="521"/>
      <c r="H74" s="521"/>
      <c r="I74" s="522"/>
      <c r="J74" s="523"/>
      <c r="K74" s="560"/>
      <c r="L74" s="560"/>
      <c r="M74" s="524"/>
      <c r="N74" s="556"/>
      <c r="O74" s="557"/>
      <c r="P74" s="558">
        <f>J74*N74</f>
        <v>0</v>
      </c>
      <c r="Q74" s="559"/>
      <c r="R74" s="169"/>
      <c r="S74" s="169"/>
      <c r="T74" s="169"/>
    </row>
    <row r="75" spans="1:20" ht="18" customHeight="1" thickBot="1" x14ac:dyDescent="0.35">
      <c r="A75" s="169"/>
      <c r="B75" s="169"/>
      <c r="C75" s="169"/>
      <c r="D75" s="536" t="s">
        <v>215</v>
      </c>
      <c r="E75" s="537"/>
      <c r="F75" s="537"/>
      <c r="G75" s="537"/>
      <c r="H75" s="537"/>
      <c r="I75" s="537"/>
      <c r="J75" s="537"/>
      <c r="K75" s="537"/>
      <c r="L75" s="537"/>
      <c r="M75" s="538"/>
      <c r="N75" s="539">
        <f>SUM(P63:Q67)+SUM(P69:Q70)+SUM(P72:Q74)</f>
        <v>8000</v>
      </c>
      <c r="O75" s="540"/>
      <c r="P75" s="540"/>
      <c r="Q75" s="541"/>
      <c r="R75" s="169"/>
      <c r="S75" s="169"/>
      <c r="T75" s="169"/>
    </row>
    <row r="76" spans="1:20" ht="18" customHeight="1" thickBot="1" x14ac:dyDescent="0.35">
      <c r="A76" s="169"/>
      <c r="B76" s="169"/>
      <c r="C76" s="169"/>
      <c r="D76" s="542" t="s">
        <v>226</v>
      </c>
      <c r="E76" s="543"/>
      <c r="F76" s="543"/>
      <c r="G76" s="543"/>
      <c r="H76" s="543"/>
      <c r="I76" s="543"/>
      <c r="J76" s="543"/>
      <c r="K76" s="543"/>
      <c r="L76" s="543"/>
      <c r="M76" s="543"/>
      <c r="N76" s="543"/>
      <c r="O76" s="543"/>
      <c r="P76" s="543"/>
      <c r="Q76" s="544"/>
      <c r="R76" s="169"/>
      <c r="S76" s="169"/>
      <c r="T76" s="169"/>
    </row>
    <row r="77" spans="1:20" ht="18" customHeight="1" thickBot="1" x14ac:dyDescent="0.35">
      <c r="A77" s="169"/>
      <c r="B77" s="169"/>
      <c r="C77" s="169"/>
      <c r="D77" s="545" t="s">
        <v>202</v>
      </c>
      <c r="E77" s="546"/>
      <c r="F77" s="546"/>
      <c r="G77" s="546"/>
      <c r="H77" s="546"/>
      <c r="I77" s="547"/>
      <c r="J77" s="530" t="s">
        <v>47</v>
      </c>
      <c r="K77" s="532"/>
      <c r="L77" s="548" t="s">
        <v>217</v>
      </c>
      <c r="M77" s="549"/>
      <c r="N77" s="549"/>
      <c r="O77" s="550"/>
      <c r="P77" s="551" t="s">
        <v>218</v>
      </c>
      <c r="Q77" s="552"/>
      <c r="R77" s="169"/>
      <c r="S77" s="169"/>
      <c r="T77" s="169"/>
    </row>
    <row r="78" spans="1:20" ht="18" customHeight="1" thickBot="1" x14ac:dyDescent="0.35">
      <c r="A78" s="169"/>
      <c r="B78" s="169"/>
      <c r="C78" s="169"/>
      <c r="D78" s="520" t="s">
        <v>225</v>
      </c>
      <c r="E78" s="521"/>
      <c r="F78" s="521"/>
      <c r="G78" s="521"/>
      <c r="H78" s="521"/>
      <c r="I78" s="522"/>
      <c r="J78" s="523">
        <v>1</v>
      </c>
      <c r="K78" s="524"/>
      <c r="L78" s="525">
        <v>176</v>
      </c>
      <c r="M78" s="526"/>
      <c r="N78" s="526"/>
      <c r="O78" s="527"/>
      <c r="P78" s="528">
        <f>J78*L78</f>
        <v>176</v>
      </c>
      <c r="Q78" s="529"/>
      <c r="R78" s="169"/>
      <c r="S78" s="169"/>
      <c r="T78" s="169"/>
    </row>
    <row r="79" spans="1:20" ht="18" customHeight="1" thickBot="1" x14ac:dyDescent="0.35">
      <c r="A79" s="169"/>
      <c r="B79" s="169"/>
      <c r="C79" s="169"/>
      <c r="D79" s="520"/>
      <c r="E79" s="521"/>
      <c r="F79" s="521"/>
      <c r="G79" s="521"/>
      <c r="H79" s="521"/>
      <c r="I79" s="522"/>
      <c r="J79" s="523"/>
      <c r="K79" s="524"/>
      <c r="L79" s="525"/>
      <c r="M79" s="526"/>
      <c r="N79" s="526"/>
      <c r="O79" s="527"/>
      <c r="P79" s="528">
        <f>J79*L79</f>
        <v>0</v>
      </c>
      <c r="Q79" s="529"/>
      <c r="R79" s="169"/>
      <c r="S79" s="169"/>
      <c r="T79" s="169"/>
    </row>
    <row r="80" spans="1:20" ht="18" customHeight="1" thickBot="1" x14ac:dyDescent="0.35">
      <c r="A80" s="169"/>
      <c r="B80" s="169"/>
      <c r="C80" s="169"/>
      <c r="D80" s="520"/>
      <c r="E80" s="521"/>
      <c r="F80" s="521"/>
      <c r="G80" s="521"/>
      <c r="H80" s="521"/>
      <c r="I80" s="522"/>
      <c r="J80" s="523"/>
      <c r="K80" s="524"/>
      <c r="L80" s="525"/>
      <c r="M80" s="526"/>
      <c r="N80" s="526"/>
      <c r="O80" s="527"/>
      <c r="P80" s="528">
        <f>J80*L80</f>
        <v>0</v>
      </c>
      <c r="Q80" s="529"/>
      <c r="R80" s="169"/>
      <c r="S80" s="169"/>
      <c r="T80" s="169"/>
    </row>
    <row r="81" spans="1:25" ht="18" customHeight="1" thickBot="1" x14ac:dyDescent="0.35">
      <c r="A81" s="169"/>
      <c r="B81" s="169"/>
      <c r="C81" s="169"/>
      <c r="D81" s="520"/>
      <c r="E81" s="521"/>
      <c r="F81" s="521"/>
      <c r="G81" s="521"/>
      <c r="H81" s="521"/>
      <c r="I81" s="522"/>
      <c r="J81" s="523"/>
      <c r="K81" s="524"/>
      <c r="L81" s="525"/>
      <c r="M81" s="526"/>
      <c r="N81" s="526"/>
      <c r="O81" s="527"/>
      <c r="P81" s="528">
        <f t="shared" ref="P81:P83" si="2">J81*L81</f>
        <v>0</v>
      </c>
      <c r="Q81" s="529"/>
      <c r="R81" s="169"/>
      <c r="S81" s="169"/>
      <c r="T81" s="169"/>
    </row>
    <row r="82" spans="1:25" ht="18" customHeight="1" thickBot="1" x14ac:dyDescent="0.35">
      <c r="A82" s="169"/>
      <c r="B82" s="169"/>
      <c r="C82" s="169"/>
      <c r="D82" s="520"/>
      <c r="E82" s="521"/>
      <c r="F82" s="521"/>
      <c r="G82" s="521"/>
      <c r="H82" s="521"/>
      <c r="I82" s="522"/>
      <c r="J82" s="523"/>
      <c r="K82" s="524"/>
      <c r="L82" s="525"/>
      <c r="M82" s="526"/>
      <c r="N82" s="526"/>
      <c r="O82" s="527"/>
      <c r="P82" s="528">
        <f t="shared" si="2"/>
        <v>0</v>
      </c>
      <c r="Q82" s="529"/>
      <c r="R82" s="169"/>
      <c r="S82" s="169"/>
      <c r="T82" s="169"/>
    </row>
    <row r="83" spans="1:25" ht="18" customHeight="1" thickBot="1" x14ac:dyDescent="0.35">
      <c r="A83" s="169"/>
      <c r="B83" s="169"/>
      <c r="C83" s="169"/>
      <c r="D83" s="520"/>
      <c r="E83" s="521"/>
      <c r="F83" s="521"/>
      <c r="G83" s="521"/>
      <c r="H83" s="521"/>
      <c r="I83" s="522"/>
      <c r="J83" s="523"/>
      <c r="K83" s="524"/>
      <c r="L83" s="525"/>
      <c r="M83" s="526"/>
      <c r="N83" s="526"/>
      <c r="O83" s="527"/>
      <c r="P83" s="528">
        <f t="shared" si="2"/>
        <v>0</v>
      </c>
      <c r="Q83" s="529"/>
      <c r="R83" s="169"/>
      <c r="S83" s="169"/>
      <c r="T83" s="169"/>
    </row>
    <row r="84" spans="1:25" ht="18" customHeight="1" thickBot="1" x14ac:dyDescent="0.35">
      <c r="A84" s="169"/>
      <c r="B84" s="169"/>
      <c r="C84" s="169"/>
      <c r="D84" s="530" t="s">
        <v>220</v>
      </c>
      <c r="E84" s="531"/>
      <c r="F84" s="531"/>
      <c r="G84" s="531"/>
      <c r="H84" s="531"/>
      <c r="I84" s="531"/>
      <c r="J84" s="531"/>
      <c r="K84" s="531"/>
      <c r="L84" s="531"/>
      <c r="M84" s="532"/>
      <c r="N84" s="533">
        <f>SUM(P78:Q83)</f>
        <v>176</v>
      </c>
      <c r="O84" s="534"/>
      <c r="P84" s="534"/>
      <c r="Q84" s="535"/>
      <c r="R84" s="169"/>
      <c r="S84" s="169"/>
      <c r="T84" s="169"/>
    </row>
    <row r="85" spans="1:25" ht="30" customHeight="1" thickBot="1" x14ac:dyDescent="0.35">
      <c r="A85" s="169"/>
      <c r="B85" s="169"/>
      <c r="C85" s="169"/>
      <c r="D85" s="217"/>
      <c r="E85" s="217"/>
      <c r="F85" s="217"/>
      <c r="G85" s="217"/>
      <c r="H85" s="217"/>
      <c r="I85" s="217"/>
      <c r="J85" s="217"/>
      <c r="K85" s="217"/>
      <c r="L85" s="217"/>
      <c r="M85" s="217"/>
      <c r="N85" s="218"/>
      <c r="O85" s="218"/>
      <c r="P85" s="218"/>
      <c r="Q85" s="218"/>
      <c r="R85" s="169"/>
      <c r="S85" s="169"/>
      <c r="T85" s="169"/>
    </row>
    <row r="86" spans="1:25" ht="30" customHeight="1" thickBot="1" x14ac:dyDescent="0.35">
      <c r="A86" s="169"/>
      <c r="B86" s="169"/>
      <c r="C86" s="169"/>
      <c r="D86" s="517" t="s">
        <v>227</v>
      </c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9"/>
      <c r="P86" s="169"/>
      <c r="Q86" s="169"/>
      <c r="R86" s="169"/>
      <c r="S86" s="169"/>
      <c r="T86" s="169"/>
    </row>
    <row r="87" spans="1:25" ht="60.75" customHeight="1" thickBot="1" x14ac:dyDescent="0.35">
      <c r="A87" s="169"/>
      <c r="B87" s="169"/>
      <c r="C87" s="169"/>
      <c r="D87" s="588" t="s">
        <v>228</v>
      </c>
      <c r="E87" s="589"/>
      <c r="F87" s="548" t="s">
        <v>229</v>
      </c>
      <c r="G87" s="550"/>
      <c r="H87" s="548" t="s">
        <v>230</v>
      </c>
      <c r="I87" s="550"/>
      <c r="J87" s="170" t="s">
        <v>231</v>
      </c>
      <c r="K87" s="170" t="s">
        <v>232</v>
      </c>
      <c r="L87" s="586" t="s">
        <v>233</v>
      </c>
      <c r="M87" s="587"/>
      <c r="N87" s="536" t="s">
        <v>234</v>
      </c>
      <c r="O87" s="538"/>
      <c r="P87" s="169"/>
      <c r="Q87" s="169"/>
      <c r="R87" s="169"/>
      <c r="S87" s="169"/>
      <c r="T87" s="169"/>
    </row>
    <row r="88" spans="1:25" ht="30" customHeight="1" thickBot="1" x14ac:dyDescent="0.35">
      <c r="A88" s="169"/>
      <c r="B88" s="169"/>
      <c r="C88" s="169"/>
      <c r="D88" s="578" t="s">
        <v>235</v>
      </c>
      <c r="E88" s="580"/>
      <c r="F88" s="572">
        <v>1</v>
      </c>
      <c r="G88" s="573"/>
      <c r="H88" s="574">
        <f>1-F88</f>
        <v>0</v>
      </c>
      <c r="I88" s="575"/>
      <c r="J88" s="214">
        <f>(1*F88+1.5*H88)</f>
        <v>1</v>
      </c>
      <c r="K88" s="215">
        <f>($N$23/$N$32)*J88</f>
        <v>57.556459330143539</v>
      </c>
      <c r="L88" s="576">
        <f>($N$49/$N$58)*J88</f>
        <v>56.81818181818182</v>
      </c>
      <c r="M88" s="577"/>
      <c r="N88" s="576">
        <f>($N$75/$N$84)*J88</f>
        <v>45.454545454545453</v>
      </c>
      <c r="O88" s="577"/>
      <c r="P88" s="169"/>
      <c r="Q88" s="169"/>
      <c r="R88" s="169"/>
      <c r="S88" s="169"/>
      <c r="T88" s="169"/>
      <c r="W88" s="220" t="s">
        <v>232</v>
      </c>
      <c r="X88" s="220"/>
      <c r="Y88" s="220">
        <v>8</v>
      </c>
    </row>
    <row r="89" spans="1:25" ht="30" customHeight="1" thickBot="1" x14ac:dyDescent="0.35">
      <c r="A89" s="169"/>
      <c r="B89" s="169"/>
      <c r="C89" s="169"/>
      <c r="D89" s="578" t="s">
        <v>236</v>
      </c>
      <c r="E89" s="580"/>
      <c r="F89" s="572">
        <v>0.7</v>
      </c>
      <c r="G89" s="573"/>
      <c r="H89" s="574">
        <f>1-F89</f>
        <v>0.30000000000000004</v>
      </c>
      <c r="I89" s="575"/>
      <c r="J89" s="212">
        <f>(1*F89+1.5*H89)</f>
        <v>1.1499999999999999</v>
      </c>
      <c r="K89" s="215">
        <f>($N$23/$N$32)*J89</f>
        <v>66.189928229665071</v>
      </c>
      <c r="L89" s="576">
        <f t="shared" ref="L89:L90" si="3">($N$49/$N$58)*J89</f>
        <v>65.340909090909093</v>
      </c>
      <c r="M89" s="577"/>
      <c r="N89" s="576"/>
      <c r="O89" s="577"/>
      <c r="P89" s="169"/>
      <c r="Q89" s="169"/>
      <c r="R89" s="169"/>
      <c r="S89" s="169"/>
      <c r="T89" s="169"/>
      <c r="W89" s="220" t="s">
        <v>233</v>
      </c>
      <c r="X89" s="220"/>
      <c r="Y89" s="220">
        <v>9</v>
      </c>
    </row>
    <row r="90" spans="1:25" ht="30" customHeight="1" thickBot="1" x14ac:dyDescent="0.35">
      <c r="A90" s="169"/>
      <c r="B90" s="169"/>
      <c r="C90" s="169"/>
      <c r="D90" s="578" t="s">
        <v>127</v>
      </c>
      <c r="E90" s="580"/>
      <c r="F90" s="572">
        <v>0.6</v>
      </c>
      <c r="G90" s="573"/>
      <c r="H90" s="574">
        <f>1-F90</f>
        <v>0.4</v>
      </c>
      <c r="I90" s="575"/>
      <c r="J90" s="212">
        <f>(F90*1+H90*1.5)</f>
        <v>1.2000000000000002</v>
      </c>
      <c r="K90" s="216">
        <f>($N$23/$N$32)*J90</f>
        <v>69.067751196172253</v>
      </c>
      <c r="L90" s="576">
        <f t="shared" si="3"/>
        <v>68.181818181818201</v>
      </c>
      <c r="M90" s="577"/>
      <c r="N90" s="576"/>
      <c r="O90" s="577"/>
      <c r="P90" s="169"/>
      <c r="Q90" s="169"/>
      <c r="R90" s="169"/>
      <c r="S90" s="169"/>
      <c r="T90" s="169"/>
      <c r="W90" s="220" t="s">
        <v>234</v>
      </c>
      <c r="X90" s="220"/>
      <c r="Y90" s="220">
        <v>11</v>
      </c>
    </row>
    <row r="91" spans="1:25" ht="30" customHeight="1" thickBot="1" x14ac:dyDescent="0.35">
      <c r="A91" s="169"/>
      <c r="B91" s="169"/>
      <c r="C91" s="169"/>
      <c r="D91" s="169"/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</row>
    <row r="92" spans="1:25" ht="30" customHeight="1" thickBot="1" x14ac:dyDescent="0.35">
      <c r="A92" s="169"/>
      <c r="B92" s="169"/>
      <c r="C92" s="169"/>
      <c r="D92" s="583" t="s">
        <v>237</v>
      </c>
      <c r="E92" s="584"/>
      <c r="F92" s="584"/>
      <c r="G92" s="584"/>
      <c r="H92" s="584"/>
      <c r="I92" s="584"/>
      <c r="J92" s="584"/>
      <c r="K92" s="584"/>
      <c r="L92" s="584"/>
      <c r="M92" s="584"/>
      <c r="N92" s="584"/>
      <c r="O92" s="584"/>
      <c r="P92" s="584"/>
      <c r="Q92" s="585"/>
      <c r="R92" s="169"/>
      <c r="S92" s="169"/>
      <c r="T92" s="169"/>
    </row>
    <row r="93" spans="1:25" ht="33.75" customHeight="1" thickBot="1" x14ac:dyDescent="0.35">
      <c r="A93" s="169"/>
      <c r="B93" s="169"/>
      <c r="C93" s="169"/>
      <c r="D93" s="565" t="s">
        <v>238</v>
      </c>
      <c r="E93" s="565"/>
      <c r="F93" s="565"/>
      <c r="G93" s="565"/>
      <c r="H93" s="565"/>
      <c r="I93" s="565"/>
      <c r="J93" s="582" t="s">
        <v>239</v>
      </c>
      <c r="K93" s="582"/>
      <c r="L93" s="564" t="s">
        <v>240</v>
      </c>
      <c r="M93" s="540"/>
      <c r="N93" s="540"/>
      <c r="O93" s="541"/>
      <c r="P93" s="582" t="s">
        <v>103</v>
      </c>
      <c r="Q93" s="582"/>
      <c r="R93" s="169"/>
      <c r="S93" s="169"/>
      <c r="T93" s="169"/>
    </row>
    <row r="94" spans="1:25" ht="30" customHeight="1" thickBot="1" x14ac:dyDescent="0.35">
      <c r="A94" s="169"/>
      <c r="B94" s="169"/>
      <c r="C94" s="169"/>
      <c r="D94" s="578" t="s">
        <v>128</v>
      </c>
      <c r="E94" s="579"/>
      <c r="F94" s="579"/>
      <c r="G94" s="579"/>
      <c r="H94" s="579"/>
      <c r="I94" s="580"/>
      <c r="J94" s="553">
        <v>1250000</v>
      </c>
      <c r="K94" s="555"/>
      <c r="L94" s="553">
        <v>200000</v>
      </c>
      <c r="M94" s="554"/>
      <c r="N94" s="554"/>
      <c r="O94" s="555"/>
      <c r="P94" s="581">
        <f>L94/J94</f>
        <v>0.16</v>
      </c>
      <c r="Q94" s="581"/>
      <c r="R94" s="169"/>
      <c r="S94" s="169"/>
      <c r="T94" s="169"/>
    </row>
    <row r="95" spans="1:25" ht="30" customHeight="1" x14ac:dyDescent="0.3">
      <c r="A95" s="169"/>
      <c r="B95" s="169"/>
      <c r="C95" s="169"/>
      <c r="D95" s="169"/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</row>
    <row r="96" spans="1:25" ht="30" customHeight="1" x14ac:dyDescent="0.3">
      <c r="A96" s="169"/>
      <c r="B96" s="169"/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</row>
    <row r="97" spans="1:20" ht="30" customHeight="1" x14ac:dyDescent="0.3">
      <c r="A97" s="169"/>
      <c r="B97" s="169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</row>
    <row r="98" spans="1:20" ht="30" customHeight="1" x14ac:dyDescent="0.3">
      <c r="A98" s="169"/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</row>
    <row r="99" spans="1:20" ht="30" customHeight="1" x14ac:dyDescent="0.3">
      <c r="A99" s="169"/>
      <c r="B99" s="169"/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</row>
    <row r="100" spans="1:20" x14ac:dyDescent="0.3">
      <c r="A100" s="169"/>
      <c r="B100" s="169"/>
      <c r="C100" s="169"/>
      <c r="D100" s="169"/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</row>
    <row r="101" spans="1:20" x14ac:dyDescent="0.3">
      <c r="A101" s="169"/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</row>
    <row r="102" spans="1:20" x14ac:dyDescent="0.3">
      <c r="A102" s="169"/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</row>
    <row r="103" spans="1:20" x14ac:dyDescent="0.3">
      <c r="A103" s="169"/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</row>
    <row r="104" spans="1:20" x14ac:dyDescent="0.3">
      <c r="A104" s="169"/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</row>
    <row r="105" spans="1:20" x14ac:dyDescent="0.3">
      <c r="A105" s="169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</row>
    <row r="106" spans="1:20" x14ac:dyDescent="0.3">
      <c r="A106" s="169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</row>
    <row r="107" spans="1:20" x14ac:dyDescent="0.3">
      <c r="A107" s="169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</row>
    <row r="108" spans="1:20" x14ac:dyDescent="0.3">
      <c r="A108" s="169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</row>
    <row r="109" spans="1:20" x14ac:dyDescent="0.3">
      <c r="A109" s="169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</row>
    <row r="110" spans="1:20" x14ac:dyDescent="0.3">
      <c r="A110" s="169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</row>
    <row r="111" spans="1:20" x14ac:dyDescent="0.3">
      <c r="A111" s="169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</row>
  </sheetData>
  <sheetProtection selectLockedCells="1"/>
  <mergeCells count="316">
    <mergeCell ref="A1:T4"/>
    <mergeCell ref="D8:Q9"/>
    <mergeCell ref="L16:M16"/>
    <mergeCell ref="L17:M17"/>
    <mergeCell ref="J16:K16"/>
    <mergeCell ref="J17:K17"/>
    <mergeCell ref="P16:Q16"/>
    <mergeCell ref="P17:Q17"/>
    <mergeCell ref="P25:Q25"/>
    <mergeCell ref="D10:I10"/>
    <mergeCell ref="L10:M10"/>
    <mergeCell ref="J10:K10"/>
    <mergeCell ref="P10:Q10"/>
    <mergeCell ref="N10:O10"/>
    <mergeCell ref="P11:Q11"/>
    <mergeCell ref="P26:Q26"/>
    <mergeCell ref="D23:M23"/>
    <mergeCell ref="J21:M21"/>
    <mergeCell ref="N12:O12"/>
    <mergeCell ref="N13:O13"/>
    <mergeCell ref="N14:O14"/>
    <mergeCell ref="N15:O15"/>
    <mergeCell ref="N22:O22"/>
    <mergeCell ref="P22:Q22"/>
    <mergeCell ref="J22:M22"/>
    <mergeCell ref="L26:O26"/>
    <mergeCell ref="L25:O25"/>
    <mergeCell ref="D16:I16"/>
    <mergeCell ref="J20:M20"/>
    <mergeCell ref="J19:M19"/>
    <mergeCell ref="P12:Q12"/>
    <mergeCell ref="P13:Q13"/>
    <mergeCell ref="P14:Q14"/>
    <mergeCell ref="P15:Q15"/>
    <mergeCell ref="D94:I94"/>
    <mergeCell ref="J94:K94"/>
    <mergeCell ref="L94:O94"/>
    <mergeCell ref="P94:Q94"/>
    <mergeCell ref="D93:I93"/>
    <mergeCell ref="J93:K93"/>
    <mergeCell ref="L93:O93"/>
    <mergeCell ref="P93:Q93"/>
    <mergeCell ref="J30:K30"/>
    <mergeCell ref="P30:Q30"/>
    <mergeCell ref="D31:I31"/>
    <mergeCell ref="D92:Q92"/>
    <mergeCell ref="D32:M32"/>
    <mergeCell ref="N32:Q32"/>
    <mergeCell ref="L87:M87"/>
    <mergeCell ref="D87:E87"/>
    <mergeCell ref="D88:E88"/>
    <mergeCell ref="D89:E89"/>
    <mergeCell ref="D90:E90"/>
    <mergeCell ref="J31:K31"/>
    <mergeCell ref="P31:Q31"/>
    <mergeCell ref="H90:I90"/>
    <mergeCell ref="L90:M90"/>
    <mergeCell ref="N90:O90"/>
    <mergeCell ref="L28:O28"/>
    <mergeCell ref="L30:O30"/>
    <mergeCell ref="L31:O31"/>
    <mergeCell ref="D30:I30"/>
    <mergeCell ref="D25:I25"/>
    <mergeCell ref="J25:K25"/>
    <mergeCell ref="N23:Q23"/>
    <mergeCell ref="D22:I22"/>
    <mergeCell ref="D11:I11"/>
    <mergeCell ref="D12:I12"/>
    <mergeCell ref="D13:I13"/>
    <mergeCell ref="D14:I14"/>
    <mergeCell ref="D15:I15"/>
    <mergeCell ref="P18:Q18"/>
    <mergeCell ref="D20:I20"/>
    <mergeCell ref="L14:M14"/>
    <mergeCell ref="L15:M15"/>
    <mergeCell ref="J11:K11"/>
    <mergeCell ref="N11:O11"/>
    <mergeCell ref="J14:K14"/>
    <mergeCell ref="L11:M11"/>
    <mergeCell ref="L12:M12"/>
    <mergeCell ref="L13:M13"/>
    <mergeCell ref="N16:O16"/>
    <mergeCell ref="L27:O27"/>
    <mergeCell ref="J15:K15"/>
    <mergeCell ref="J12:K12"/>
    <mergeCell ref="J13:K13"/>
    <mergeCell ref="D24:Q24"/>
    <mergeCell ref="D17:I17"/>
    <mergeCell ref="D18:I18"/>
    <mergeCell ref="D19:I19"/>
    <mergeCell ref="D21:I21"/>
    <mergeCell ref="N21:O21"/>
    <mergeCell ref="P21:Q21"/>
    <mergeCell ref="N17:O17"/>
    <mergeCell ref="N19:O19"/>
    <mergeCell ref="P19:Q19"/>
    <mergeCell ref="J18:K18"/>
    <mergeCell ref="L18:M18"/>
    <mergeCell ref="N18:O18"/>
    <mergeCell ref="N20:O20"/>
    <mergeCell ref="P20:Q20"/>
    <mergeCell ref="D27:I27"/>
    <mergeCell ref="J27:K27"/>
    <mergeCell ref="P27:Q27"/>
    <mergeCell ref="D26:I26"/>
    <mergeCell ref="J26:K26"/>
    <mergeCell ref="D28:I28"/>
    <mergeCell ref="J28:K28"/>
    <mergeCell ref="P28:Q28"/>
    <mergeCell ref="F87:G87"/>
    <mergeCell ref="F88:G88"/>
    <mergeCell ref="F89:G89"/>
    <mergeCell ref="H87:I87"/>
    <mergeCell ref="H88:I88"/>
    <mergeCell ref="H89:I89"/>
    <mergeCell ref="N87:O87"/>
    <mergeCell ref="L88:M88"/>
    <mergeCell ref="L89:M89"/>
    <mergeCell ref="N88:O88"/>
    <mergeCell ref="N89:O89"/>
    <mergeCell ref="N42:O42"/>
    <mergeCell ref="P42:Q42"/>
    <mergeCell ref="D43:I43"/>
    <mergeCell ref="J43:K43"/>
    <mergeCell ref="L43:M43"/>
    <mergeCell ref="N43:O43"/>
    <mergeCell ref="P43:Q43"/>
    <mergeCell ref="D44:I44"/>
    <mergeCell ref="J44:K44"/>
    <mergeCell ref="L44:M44"/>
    <mergeCell ref="P44:Q44"/>
    <mergeCell ref="F90:G90"/>
    <mergeCell ref="N46:O46"/>
    <mergeCell ref="D41:I41"/>
    <mergeCell ref="J41:K41"/>
    <mergeCell ref="P41:Q41"/>
    <mergeCell ref="P36:Q36"/>
    <mergeCell ref="P37:Q37"/>
    <mergeCell ref="P38:Q38"/>
    <mergeCell ref="D40:I40"/>
    <mergeCell ref="J40:K40"/>
    <mergeCell ref="P40:Q40"/>
    <mergeCell ref="D38:I38"/>
    <mergeCell ref="D36:I36"/>
    <mergeCell ref="D37:I37"/>
    <mergeCell ref="J38:K38"/>
    <mergeCell ref="J36:K36"/>
    <mergeCell ref="J37:K37"/>
    <mergeCell ref="P51:Q51"/>
    <mergeCell ref="D39:I39"/>
    <mergeCell ref="J39:K39"/>
    <mergeCell ref="P39:Q39"/>
    <mergeCell ref="D42:I42"/>
    <mergeCell ref="J42:K42"/>
    <mergeCell ref="L38:M38"/>
    <mergeCell ref="N38:O38"/>
    <mergeCell ref="L39:M39"/>
    <mergeCell ref="N39:O39"/>
    <mergeCell ref="L40:M40"/>
    <mergeCell ref="N40:O40"/>
    <mergeCell ref="L41:M41"/>
    <mergeCell ref="N41:O41"/>
    <mergeCell ref="N44:O44"/>
    <mergeCell ref="L42:M42"/>
    <mergeCell ref="D51:I51"/>
    <mergeCell ref="J51:K51"/>
    <mergeCell ref="L51:O51"/>
    <mergeCell ref="N48:O48"/>
    <mergeCell ref="D49:M49"/>
    <mergeCell ref="N49:Q49"/>
    <mergeCell ref="D50:Q50"/>
    <mergeCell ref="D45:I45"/>
    <mergeCell ref="P45:Q45"/>
    <mergeCell ref="D46:I46"/>
    <mergeCell ref="P46:Q46"/>
    <mergeCell ref="J45:M45"/>
    <mergeCell ref="N45:O45"/>
    <mergeCell ref="J46:M46"/>
    <mergeCell ref="D47:I47"/>
    <mergeCell ref="P47:Q47"/>
    <mergeCell ref="D48:I48"/>
    <mergeCell ref="P48:Q48"/>
    <mergeCell ref="J47:M47"/>
    <mergeCell ref="N47:O47"/>
    <mergeCell ref="J48:M48"/>
    <mergeCell ref="D29:I29"/>
    <mergeCell ref="J29:K29"/>
    <mergeCell ref="L29:O29"/>
    <mergeCell ref="P29:Q29"/>
    <mergeCell ref="D34:Q35"/>
    <mergeCell ref="L36:M36"/>
    <mergeCell ref="N36:O36"/>
    <mergeCell ref="L37:M37"/>
    <mergeCell ref="N37:O37"/>
    <mergeCell ref="D52:I52"/>
    <mergeCell ref="J52:K52"/>
    <mergeCell ref="L52:O52"/>
    <mergeCell ref="P52:Q52"/>
    <mergeCell ref="D53:I53"/>
    <mergeCell ref="J53:K53"/>
    <mergeCell ref="L53:O53"/>
    <mergeCell ref="P53:Q53"/>
    <mergeCell ref="D54:I54"/>
    <mergeCell ref="J54:K54"/>
    <mergeCell ref="L54:O54"/>
    <mergeCell ref="P54:Q54"/>
    <mergeCell ref="D55:I55"/>
    <mergeCell ref="J55:K55"/>
    <mergeCell ref="L55:O55"/>
    <mergeCell ref="P55:Q55"/>
    <mergeCell ref="D56:I56"/>
    <mergeCell ref="J56:K56"/>
    <mergeCell ref="L56:O56"/>
    <mergeCell ref="P56:Q56"/>
    <mergeCell ref="D57:I57"/>
    <mergeCell ref="J57:K57"/>
    <mergeCell ref="L57:O57"/>
    <mergeCell ref="P57:Q57"/>
    <mergeCell ref="D58:M58"/>
    <mergeCell ref="N58:Q58"/>
    <mergeCell ref="D60:Q61"/>
    <mergeCell ref="D62:I62"/>
    <mergeCell ref="J62:K62"/>
    <mergeCell ref="L62:M62"/>
    <mergeCell ref="N62:O62"/>
    <mergeCell ref="P62:Q62"/>
    <mergeCell ref="D63:I63"/>
    <mergeCell ref="J63:K63"/>
    <mergeCell ref="L63:M63"/>
    <mergeCell ref="N63:O63"/>
    <mergeCell ref="P63:Q63"/>
    <mergeCell ref="D64:I64"/>
    <mergeCell ref="J64:K64"/>
    <mergeCell ref="L64:M64"/>
    <mergeCell ref="N64:O64"/>
    <mergeCell ref="P64:Q64"/>
    <mergeCell ref="D65:I65"/>
    <mergeCell ref="J65:K65"/>
    <mergeCell ref="L65:M65"/>
    <mergeCell ref="N65:O65"/>
    <mergeCell ref="P65:Q65"/>
    <mergeCell ref="D66:I66"/>
    <mergeCell ref="J66:K66"/>
    <mergeCell ref="L66:M66"/>
    <mergeCell ref="N66:O66"/>
    <mergeCell ref="P66:Q66"/>
    <mergeCell ref="D67:I67"/>
    <mergeCell ref="J67:K67"/>
    <mergeCell ref="L67:M67"/>
    <mergeCell ref="N67:O67"/>
    <mergeCell ref="P67:Q67"/>
    <mergeCell ref="D68:I68"/>
    <mergeCell ref="J68:K68"/>
    <mergeCell ref="L68:M68"/>
    <mergeCell ref="N68:O68"/>
    <mergeCell ref="P68:Q68"/>
    <mergeCell ref="D69:I69"/>
    <mergeCell ref="J69:K69"/>
    <mergeCell ref="L69:M69"/>
    <mergeCell ref="N69:O69"/>
    <mergeCell ref="P69:Q69"/>
    <mergeCell ref="D70:I70"/>
    <mergeCell ref="J70:K70"/>
    <mergeCell ref="L70:M70"/>
    <mergeCell ref="N70:O70"/>
    <mergeCell ref="P70:Q70"/>
    <mergeCell ref="D71:I71"/>
    <mergeCell ref="J71:M71"/>
    <mergeCell ref="N71:O71"/>
    <mergeCell ref="P71:Q71"/>
    <mergeCell ref="D72:I72"/>
    <mergeCell ref="J72:M72"/>
    <mergeCell ref="N72:O72"/>
    <mergeCell ref="P72:Q72"/>
    <mergeCell ref="D73:I73"/>
    <mergeCell ref="J73:M73"/>
    <mergeCell ref="N73:O73"/>
    <mergeCell ref="P73:Q73"/>
    <mergeCell ref="D74:I74"/>
    <mergeCell ref="J74:M74"/>
    <mergeCell ref="N74:O74"/>
    <mergeCell ref="P74:Q74"/>
    <mergeCell ref="D75:M75"/>
    <mergeCell ref="N75:Q75"/>
    <mergeCell ref="D76:Q76"/>
    <mergeCell ref="D77:I77"/>
    <mergeCell ref="J77:K77"/>
    <mergeCell ref="L77:O77"/>
    <mergeCell ref="P77:Q77"/>
    <mergeCell ref="D78:I78"/>
    <mergeCell ref="J78:K78"/>
    <mergeCell ref="L78:O78"/>
    <mergeCell ref="P78:Q78"/>
    <mergeCell ref="D79:I79"/>
    <mergeCell ref="J79:K79"/>
    <mergeCell ref="L79:O79"/>
    <mergeCell ref="P79:Q79"/>
    <mergeCell ref="D80:I80"/>
    <mergeCell ref="J80:K80"/>
    <mergeCell ref="L80:O80"/>
    <mergeCell ref="P80:Q80"/>
    <mergeCell ref="D81:I81"/>
    <mergeCell ref="J81:K81"/>
    <mergeCell ref="L81:O81"/>
    <mergeCell ref="P81:Q81"/>
    <mergeCell ref="D86:O86"/>
    <mergeCell ref="D82:I82"/>
    <mergeCell ref="J82:K82"/>
    <mergeCell ref="L82:O82"/>
    <mergeCell ref="P82:Q82"/>
    <mergeCell ref="D83:I83"/>
    <mergeCell ref="J83:K83"/>
    <mergeCell ref="L83:O83"/>
    <mergeCell ref="P83:Q83"/>
    <mergeCell ref="D84:M84"/>
    <mergeCell ref="N84:Q84"/>
  </mergeCells>
  <dataValidations count="2">
    <dataValidation type="decimal" allowBlank="1" showInputMessage="1" showErrorMessage="1" errorTitle="Erro de preenchimento" error="somente valores entre 0% e 100%" sqref="F88:F90" xr:uid="{00000000-0002-0000-0A00-000000000000}">
      <formula1>0</formula1>
      <formula2>1</formula2>
    </dataValidation>
    <dataValidation allowBlank="1" showInputMessage="1" showErrorMessage="1" errorTitle="Erro de preenchimento" error="somente valores entre 0% e 100%" sqref="H88:H90" xr:uid="{00000000-0002-0000-0A00-000001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L77"/>
  <sheetViews>
    <sheetView showGridLines="0" showRowColHeaders="0" zoomScale="70" zoomScaleNormal="70" workbookViewId="0">
      <selection activeCell="B59" sqref="B59"/>
    </sheetView>
  </sheetViews>
  <sheetFormatPr defaultColWidth="9.109375" defaultRowHeight="20.100000000000001" customHeight="1" x14ac:dyDescent="0.3"/>
  <cols>
    <col min="1" max="1" width="10.6640625" style="191" customWidth="1"/>
    <col min="2" max="2" width="59.6640625" style="191" customWidth="1"/>
    <col min="3" max="3" width="28.109375" style="191" customWidth="1"/>
    <col min="4" max="4" width="35.33203125" style="191" customWidth="1"/>
    <col min="5" max="5" width="37.5546875" style="191" customWidth="1"/>
    <col min="6" max="6" width="38" style="191" customWidth="1"/>
    <col min="7" max="7" width="38.6640625" style="191" customWidth="1"/>
    <col min="8" max="12" width="9.109375" style="191"/>
    <col min="13" max="16384" width="9.109375" style="69"/>
  </cols>
  <sheetData>
    <row r="1" spans="1:12" ht="14.4" x14ac:dyDescent="0.3">
      <c r="A1" s="69" t="s">
        <v>241</v>
      </c>
      <c r="B1" s="592" t="s">
        <v>242</v>
      </c>
      <c r="C1" s="592"/>
      <c r="D1" s="592"/>
      <c r="E1" s="592"/>
      <c r="F1" s="592"/>
      <c r="G1" s="592"/>
      <c r="H1" s="592"/>
      <c r="I1" s="69"/>
      <c r="J1" s="69"/>
      <c r="K1" s="69"/>
      <c r="L1" s="69"/>
    </row>
    <row r="2" spans="1:12" ht="14.4" x14ac:dyDescent="0.3">
      <c r="A2" s="69"/>
      <c r="B2" s="592"/>
      <c r="C2" s="592"/>
      <c r="D2" s="592"/>
      <c r="E2" s="592"/>
      <c r="F2" s="592"/>
      <c r="G2" s="592"/>
      <c r="H2" s="592"/>
      <c r="I2" s="69"/>
      <c r="J2" s="69"/>
      <c r="K2" s="69"/>
      <c r="L2" s="69"/>
    </row>
    <row r="3" spans="1:12" ht="14.4" x14ac:dyDescent="0.3">
      <c r="A3" s="69"/>
      <c r="B3" s="592"/>
      <c r="C3" s="592"/>
      <c r="D3" s="592"/>
      <c r="E3" s="592"/>
      <c r="F3" s="592"/>
      <c r="G3" s="592"/>
      <c r="H3" s="592"/>
      <c r="I3" s="69"/>
      <c r="J3" s="69"/>
      <c r="K3" s="69"/>
      <c r="L3" s="69"/>
    </row>
    <row r="4" spans="1:12" ht="14.4" x14ac:dyDescent="0.3">
      <c r="A4" s="69"/>
      <c r="B4" s="592"/>
      <c r="C4" s="592"/>
      <c r="D4" s="592"/>
      <c r="E4" s="592"/>
      <c r="F4" s="592"/>
      <c r="G4" s="592"/>
      <c r="H4" s="592"/>
      <c r="I4" s="69"/>
      <c r="J4" s="69"/>
      <c r="K4" s="69"/>
      <c r="L4" s="69"/>
    </row>
    <row r="5" spans="1:12" ht="14.4" x14ac:dyDescent="0.3">
      <c r="A5" s="69"/>
      <c r="B5" s="592"/>
      <c r="C5" s="592"/>
      <c r="D5" s="592"/>
      <c r="E5" s="592"/>
      <c r="F5" s="592"/>
      <c r="G5" s="592"/>
      <c r="H5" s="592"/>
      <c r="I5" s="69"/>
      <c r="J5" s="69"/>
      <c r="K5" s="69"/>
      <c r="L5" s="69"/>
    </row>
    <row r="6" spans="1:12" ht="14.4" x14ac:dyDescent="0.3"/>
    <row r="7" spans="1:12" ht="14.4" x14ac:dyDescent="0.3">
      <c r="J7" s="210"/>
    </row>
    <row r="8" spans="1:12" ht="14.4" x14ac:dyDescent="0.3"/>
    <row r="9" spans="1:12" ht="15" thickBot="1" x14ac:dyDescent="0.35"/>
    <row r="10" spans="1:12" ht="61.5" customHeight="1" thickTop="1" thickBot="1" x14ac:dyDescent="0.35">
      <c r="A10" s="591" t="s">
        <v>243</v>
      </c>
      <c r="B10" s="591"/>
      <c r="C10" s="591"/>
      <c r="D10" s="591"/>
      <c r="E10" s="591"/>
      <c r="F10" s="591"/>
      <c r="G10" s="591"/>
      <c r="H10" s="591"/>
      <c r="I10" s="591"/>
      <c r="J10" s="591"/>
      <c r="K10" s="591"/>
      <c r="L10" s="190"/>
    </row>
    <row r="11" spans="1:12" ht="37.5" customHeight="1" thickTop="1" x14ac:dyDescent="0.3">
      <c r="A11" s="189" t="s">
        <v>244</v>
      </c>
      <c r="B11" s="596" t="s">
        <v>245</v>
      </c>
      <c r="C11" s="597"/>
      <c r="D11" s="188" t="s">
        <v>246</v>
      </c>
      <c r="E11" s="188" t="s">
        <v>247</v>
      </c>
      <c r="F11" s="187" t="s">
        <v>248</v>
      </c>
      <c r="G11" s="186" t="s">
        <v>249</v>
      </c>
      <c r="H11" s="602" t="s">
        <v>250</v>
      </c>
      <c r="I11" s="603"/>
      <c r="J11" s="193"/>
      <c r="K11" s="193"/>
      <c r="L11" s="193"/>
    </row>
    <row r="12" spans="1:12" ht="15.6" x14ac:dyDescent="0.3">
      <c r="A12" s="181"/>
      <c r="B12" s="598"/>
      <c r="C12" s="599"/>
      <c r="D12" s="185"/>
      <c r="E12" s="159"/>
      <c r="F12" s="158">
        <f>(D12*A12)+(E12*A12)</f>
        <v>0</v>
      </c>
      <c r="G12" s="180" t="str">
        <f>IF(F12&lt;&gt;0,Dados!$N$88,"")</f>
        <v/>
      </c>
      <c r="H12" s="604" t="s">
        <v>251</v>
      </c>
      <c r="I12" s="605"/>
      <c r="J12" s="193"/>
      <c r="K12" s="193"/>
      <c r="L12" s="193"/>
    </row>
    <row r="13" spans="1:12" ht="15.6" x14ac:dyDescent="0.3">
      <c r="A13" s="184">
        <v>16</v>
      </c>
      <c r="B13" s="600"/>
      <c r="C13" s="601"/>
      <c r="D13" s="183">
        <v>350</v>
      </c>
      <c r="E13" s="160"/>
      <c r="F13" s="219">
        <f>(D13*A13)+(E13*A13)</f>
        <v>5600</v>
      </c>
      <c r="G13" s="182">
        <f>IF(F13&lt;&gt;0,Dados!$L$88,"")</f>
        <v>56.81818181818182</v>
      </c>
      <c r="H13" s="606" t="s">
        <v>252</v>
      </c>
      <c r="I13" s="607"/>
      <c r="J13" s="193"/>
      <c r="K13" s="193"/>
      <c r="L13" s="193"/>
    </row>
    <row r="14" spans="1:12" ht="15.6" x14ac:dyDescent="0.3">
      <c r="A14" s="181"/>
      <c r="B14" s="598"/>
      <c r="C14" s="599"/>
      <c r="D14" s="161"/>
      <c r="E14" s="159"/>
      <c r="F14" s="158">
        <f>(D14*A14)+(E14*A14)</f>
        <v>0</v>
      </c>
      <c r="G14" s="180" t="str">
        <f>IF(F14&lt;&gt;0,Dados!$K$88,"")</f>
        <v/>
      </c>
      <c r="H14" s="608" t="s">
        <v>253</v>
      </c>
      <c r="I14" s="609"/>
      <c r="J14" s="193"/>
      <c r="K14" s="193"/>
      <c r="L14" s="193"/>
    </row>
    <row r="15" spans="1:12" ht="14.4" x14ac:dyDescent="0.3">
      <c r="A15" s="594">
        <f>SUM(A12:A14)</f>
        <v>16</v>
      </c>
      <c r="B15" s="471" t="s">
        <v>128</v>
      </c>
      <c r="C15" s="472"/>
      <c r="D15" s="434">
        <f>IFERROR(AVERAGE(D12:D14),"")</f>
        <v>350</v>
      </c>
      <c r="E15" s="434">
        <f>SUM(E12:E14)</f>
        <v>0</v>
      </c>
      <c r="F15" s="465">
        <f>SUM(F12:F14)</f>
        <v>5600</v>
      </c>
      <c r="G15" s="434">
        <f>IFERROR(AVERAGE(G12:G14),"")</f>
        <v>56.81818181818182</v>
      </c>
      <c r="H15" s="193"/>
      <c r="I15" s="193"/>
      <c r="J15" s="193"/>
      <c r="K15" s="193"/>
      <c r="L15" s="193"/>
    </row>
    <row r="16" spans="1:12" ht="14.4" x14ac:dyDescent="0.3">
      <c r="A16" s="595"/>
      <c r="B16" s="474"/>
      <c r="C16" s="475"/>
      <c r="D16" s="435"/>
      <c r="E16" s="435"/>
      <c r="F16" s="466"/>
      <c r="G16" s="435"/>
      <c r="H16" s="193"/>
      <c r="I16" s="193"/>
      <c r="J16" s="193"/>
      <c r="K16" s="193"/>
      <c r="L16" s="193"/>
    </row>
    <row r="17" spans="1:12" ht="15" thickBot="1" x14ac:dyDescent="0.35">
      <c r="A17" s="193"/>
      <c r="B17" s="193"/>
      <c r="C17" s="193"/>
      <c r="D17" s="193"/>
      <c r="E17" s="193"/>
      <c r="F17" s="193"/>
      <c r="G17" s="193"/>
      <c r="H17" s="193"/>
      <c r="I17" s="193"/>
      <c r="J17" s="193"/>
      <c r="K17" s="193"/>
      <c r="L17" s="193"/>
    </row>
    <row r="18" spans="1:12" ht="40.5" customHeight="1" thickTop="1" thickBot="1" x14ac:dyDescent="0.35">
      <c r="A18" s="593" t="s">
        <v>254</v>
      </c>
      <c r="B18" s="593"/>
      <c r="C18" s="593"/>
      <c r="D18" s="593"/>
      <c r="E18" s="593"/>
      <c r="F18" s="593"/>
      <c r="G18" s="593"/>
      <c r="H18" s="593"/>
      <c r="I18" s="593"/>
      <c r="J18" s="593"/>
      <c r="K18" s="593"/>
      <c r="L18" s="211"/>
    </row>
    <row r="19" spans="1:12" ht="15" thickTop="1" x14ac:dyDescent="0.3">
      <c r="A19" s="192"/>
      <c r="B19" s="192"/>
      <c r="C19" s="192"/>
      <c r="D19" s="192"/>
      <c r="E19" s="192"/>
      <c r="F19" s="192"/>
      <c r="G19" s="192"/>
      <c r="H19" s="192"/>
      <c r="I19" s="192"/>
      <c r="J19" s="192"/>
      <c r="K19" s="192"/>
      <c r="L19" s="192"/>
    </row>
    <row r="20" spans="1:12" ht="21" x14ac:dyDescent="0.3">
      <c r="A20" s="192"/>
      <c r="B20" s="157" t="s">
        <v>102</v>
      </c>
      <c r="C20" s="150" t="s">
        <v>103</v>
      </c>
      <c r="D20" s="150" t="s">
        <v>104</v>
      </c>
      <c r="E20" s="192"/>
      <c r="F20" s="192"/>
      <c r="G20" s="192"/>
      <c r="H20" s="192"/>
      <c r="I20" s="192"/>
      <c r="J20" s="192"/>
      <c r="K20" s="192"/>
      <c r="L20" s="192"/>
    </row>
    <row r="21" spans="1:12" ht="14.4" x14ac:dyDescent="0.3">
      <c r="A21" s="192"/>
      <c r="B21" s="437" t="s">
        <v>105</v>
      </c>
      <c r="C21" s="476"/>
      <c r="D21" s="449">
        <f>IFERROR(F15,"")</f>
        <v>5600</v>
      </c>
      <c r="E21" s="192"/>
      <c r="F21" s="192"/>
      <c r="G21" s="192"/>
      <c r="H21" s="192"/>
      <c r="I21" s="192"/>
      <c r="J21" s="192"/>
      <c r="K21" s="192"/>
      <c r="L21" s="192"/>
    </row>
    <row r="22" spans="1:12" ht="14.4" x14ac:dyDescent="0.3">
      <c r="A22" s="192"/>
      <c r="B22" s="437"/>
      <c r="C22" s="476"/>
      <c r="D22" s="449"/>
      <c r="E22" s="192"/>
      <c r="F22" s="192"/>
      <c r="G22" s="192"/>
      <c r="H22" s="192"/>
      <c r="I22" s="192"/>
      <c r="J22" s="192"/>
      <c r="K22" s="192"/>
      <c r="L22" s="192"/>
    </row>
    <row r="23" spans="1:12" ht="14.4" x14ac:dyDescent="0.3">
      <c r="A23" s="192"/>
      <c r="B23" s="437" t="s">
        <v>106</v>
      </c>
      <c r="C23" s="450">
        <v>0.15</v>
      </c>
      <c r="D23" s="436">
        <f>IFERROR(D21*C23,"")</f>
        <v>840</v>
      </c>
      <c r="E23" s="192"/>
      <c r="F23" s="192"/>
      <c r="G23" s="192"/>
      <c r="H23" s="192"/>
      <c r="I23" s="192"/>
      <c r="J23" s="192"/>
      <c r="K23" s="192"/>
      <c r="L23" s="192"/>
    </row>
    <row r="24" spans="1:12" ht="14.4" x14ac:dyDescent="0.3">
      <c r="A24" s="192"/>
      <c r="B24" s="437"/>
      <c r="C24" s="451"/>
      <c r="D24" s="436"/>
      <c r="E24" s="192"/>
      <c r="F24" s="192"/>
      <c r="G24" s="192"/>
      <c r="H24" s="192"/>
      <c r="I24" s="192"/>
      <c r="J24" s="192"/>
      <c r="K24" s="192"/>
      <c r="L24" s="192"/>
    </row>
    <row r="25" spans="1:12" ht="14.4" x14ac:dyDescent="0.3">
      <c r="A25" s="192"/>
      <c r="B25" s="442" t="s">
        <v>107</v>
      </c>
      <c r="C25" s="480">
        <f>IFERROR(D25/D21,"")</f>
        <v>0</v>
      </c>
      <c r="D25" s="611"/>
      <c r="E25" s="192"/>
      <c r="F25" s="192"/>
      <c r="G25" s="192"/>
      <c r="H25" s="192"/>
      <c r="I25" s="192"/>
      <c r="J25" s="192"/>
      <c r="K25" s="192"/>
      <c r="L25" s="192"/>
    </row>
    <row r="26" spans="1:12" ht="14.4" x14ac:dyDescent="0.3">
      <c r="A26" s="192"/>
      <c r="B26" s="452"/>
      <c r="C26" s="481"/>
      <c r="D26" s="611"/>
      <c r="E26" s="192"/>
      <c r="F26" s="192"/>
      <c r="G26" s="192"/>
      <c r="H26" s="192"/>
      <c r="I26" s="192"/>
      <c r="J26" s="192"/>
      <c r="K26" s="192"/>
      <c r="L26" s="192"/>
    </row>
    <row r="27" spans="1:12" ht="14.4" x14ac:dyDescent="0.3">
      <c r="A27" s="192"/>
      <c r="B27" s="442" t="s">
        <v>108</v>
      </c>
      <c r="C27" s="461">
        <f>Dados!P94</f>
        <v>0.16</v>
      </c>
      <c r="D27" s="438">
        <f>IFERROR(D21*C27,"")</f>
        <v>896</v>
      </c>
      <c r="E27" s="192"/>
      <c r="F27" s="192"/>
      <c r="G27" s="192"/>
      <c r="H27" s="192"/>
      <c r="I27" s="192"/>
      <c r="J27" s="192"/>
      <c r="K27" s="192"/>
      <c r="L27" s="192"/>
    </row>
    <row r="28" spans="1:12" ht="14.4" x14ac:dyDescent="0.3">
      <c r="A28" s="192"/>
      <c r="B28" s="443"/>
      <c r="C28" s="462"/>
      <c r="D28" s="439"/>
      <c r="E28" s="192"/>
      <c r="F28" s="192"/>
      <c r="G28" s="192"/>
      <c r="H28" s="192"/>
      <c r="I28" s="192"/>
      <c r="J28" s="192"/>
      <c r="K28" s="192"/>
      <c r="L28" s="192"/>
    </row>
    <row r="29" spans="1:12" ht="14.4" x14ac:dyDescent="0.3">
      <c r="A29" s="192"/>
      <c r="B29" s="442" t="s">
        <v>109</v>
      </c>
      <c r="C29" s="461">
        <f>IFERROR(D29/D21,"")</f>
        <v>0.16233766233766234</v>
      </c>
      <c r="D29" s="438">
        <f>IFERROR(A15*G15,"")</f>
        <v>909.09090909090912</v>
      </c>
      <c r="E29" s="192"/>
      <c r="F29" s="192"/>
      <c r="G29" s="192"/>
      <c r="H29" s="192"/>
      <c r="I29" s="192"/>
      <c r="J29" s="192"/>
      <c r="K29" s="192"/>
      <c r="L29" s="192"/>
    </row>
    <row r="30" spans="1:12" ht="14.4" x14ac:dyDescent="0.3">
      <c r="A30" s="192"/>
      <c r="B30" s="452"/>
      <c r="C30" s="462"/>
      <c r="D30" s="439"/>
      <c r="E30" s="192"/>
      <c r="F30" s="192"/>
      <c r="G30" s="192"/>
      <c r="H30" s="192"/>
      <c r="I30" s="192"/>
      <c r="J30" s="192"/>
      <c r="K30" s="192"/>
      <c r="L30" s="192"/>
    </row>
    <row r="31" spans="1:12" ht="14.4" x14ac:dyDescent="0.3">
      <c r="A31" s="192"/>
      <c r="B31" s="442" t="s">
        <v>110</v>
      </c>
      <c r="C31" s="450">
        <v>0.08</v>
      </c>
      <c r="D31" s="438">
        <f>IFERROR(($D$21-$D$23-$D$25-$D$27-$D$29)*C31,"")</f>
        <v>236.39272727272729</v>
      </c>
      <c r="E31" s="192"/>
      <c r="F31" s="192"/>
      <c r="G31" s="192"/>
      <c r="H31" s="192"/>
      <c r="I31" s="192"/>
      <c r="J31" s="192"/>
      <c r="K31" s="192"/>
      <c r="L31" s="192"/>
    </row>
    <row r="32" spans="1:12" ht="14.4" x14ac:dyDescent="0.3">
      <c r="A32" s="192"/>
      <c r="B32" s="452"/>
      <c r="C32" s="451"/>
      <c r="D32" s="439"/>
      <c r="E32" s="192"/>
      <c r="F32" s="192"/>
      <c r="G32" s="192"/>
      <c r="H32" s="192"/>
      <c r="I32" s="192"/>
      <c r="J32" s="192"/>
      <c r="K32" s="192"/>
      <c r="L32" s="192"/>
    </row>
    <row r="33" spans="1:12" ht="15" customHeight="1" x14ac:dyDescent="0.3">
      <c r="A33" s="192"/>
      <c r="B33" s="442" t="s">
        <v>255</v>
      </c>
      <c r="C33" s="450">
        <v>0.04</v>
      </c>
      <c r="D33" s="438">
        <f>IFERROR(($D$21-$D$23-$D$25-$D$27-$D$29)*C33,"")</f>
        <v>118.19636363636364</v>
      </c>
      <c r="E33" s="192"/>
      <c r="F33" s="192"/>
      <c r="G33" s="192"/>
      <c r="H33" s="192"/>
      <c r="I33" s="192"/>
      <c r="J33" s="192"/>
      <c r="K33" s="192"/>
      <c r="L33" s="192"/>
    </row>
    <row r="34" spans="1:12" ht="15" customHeight="1" x14ac:dyDescent="0.3">
      <c r="A34" s="192"/>
      <c r="B34" s="452"/>
      <c r="C34" s="451"/>
      <c r="D34" s="439"/>
      <c r="E34" s="192"/>
      <c r="F34" s="192"/>
      <c r="G34" s="192"/>
      <c r="H34" s="192"/>
      <c r="I34" s="192"/>
      <c r="J34" s="192"/>
      <c r="K34" s="192"/>
      <c r="L34" s="192"/>
    </row>
    <row r="35" spans="1:12" ht="15" customHeight="1" x14ac:dyDescent="0.3">
      <c r="A35" s="192"/>
      <c r="B35" s="442" t="s">
        <v>256</v>
      </c>
      <c r="C35" s="450">
        <v>0.01</v>
      </c>
      <c r="D35" s="438">
        <f>IFERROR(($D$21-$D$23-$D$25-$D$27-$D$29)*C35,"")</f>
        <v>29.549090909090911</v>
      </c>
      <c r="E35" s="192"/>
      <c r="F35" s="192"/>
      <c r="G35" s="192"/>
      <c r="H35" s="192"/>
      <c r="I35" s="192"/>
      <c r="J35" s="192"/>
      <c r="K35" s="192"/>
      <c r="L35" s="192"/>
    </row>
    <row r="36" spans="1:12" ht="15" customHeight="1" x14ac:dyDescent="0.3">
      <c r="A36" s="192"/>
      <c r="B36" s="452"/>
      <c r="C36" s="451"/>
      <c r="D36" s="439"/>
      <c r="E36" s="192"/>
      <c r="F36" s="192"/>
      <c r="G36" s="192"/>
      <c r="H36" s="192"/>
      <c r="I36" s="192"/>
      <c r="J36" s="192"/>
      <c r="K36" s="192"/>
      <c r="L36" s="192"/>
    </row>
    <row r="37" spans="1:12" ht="14.4" x14ac:dyDescent="0.3">
      <c r="A37" s="192"/>
      <c r="B37" s="442" t="s">
        <v>257</v>
      </c>
      <c r="C37" s="500">
        <f>IFERROR(D37/F15,"")</f>
        <v>0.45906623376623379</v>
      </c>
      <c r="D37" s="612">
        <f>IFERROR(D21-D23-D25-D27-D29-D31-D33-D35,"")</f>
        <v>2570.7709090909093</v>
      </c>
      <c r="E37" s="192"/>
      <c r="F37" s="192"/>
      <c r="G37" s="192"/>
      <c r="H37" s="192"/>
      <c r="I37" s="192"/>
      <c r="J37" s="192"/>
      <c r="K37" s="192"/>
      <c r="L37" s="192"/>
    </row>
    <row r="38" spans="1:12" ht="14.4" x14ac:dyDescent="0.3">
      <c r="A38" s="192"/>
      <c r="B38" s="452"/>
      <c r="C38" s="501"/>
      <c r="D38" s="613"/>
      <c r="E38" s="192"/>
      <c r="F38" s="192"/>
      <c r="G38" s="192"/>
      <c r="H38" s="192"/>
      <c r="I38" s="192"/>
      <c r="J38" s="192"/>
      <c r="K38" s="192"/>
      <c r="L38" s="192"/>
    </row>
    <row r="39" spans="1:12" ht="14.4" x14ac:dyDescent="0.3">
      <c r="A39" s="192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</row>
    <row r="40" spans="1:12" ht="14.4" x14ac:dyDescent="0.3">
      <c r="A40" s="192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</row>
    <row r="41" spans="1:12" ht="15" customHeight="1" x14ac:dyDescent="0.3">
      <c r="B41" s="610"/>
      <c r="C41" s="610"/>
      <c r="D41" s="610"/>
      <c r="E41" s="610"/>
      <c r="F41" s="610"/>
      <c r="G41" s="610"/>
      <c r="H41" s="194"/>
      <c r="I41" s="194"/>
      <c r="J41" s="194"/>
      <c r="K41" s="194"/>
      <c r="L41" s="194"/>
    </row>
    <row r="42" spans="1:12" ht="15" customHeight="1" x14ac:dyDescent="0.3">
      <c r="A42" s="194"/>
      <c r="B42" s="610"/>
      <c r="C42" s="610"/>
      <c r="D42" s="610"/>
      <c r="E42" s="610"/>
      <c r="F42" s="610"/>
      <c r="G42" s="610"/>
      <c r="H42" s="194"/>
      <c r="I42" s="194"/>
      <c r="J42" s="194"/>
      <c r="K42" s="194"/>
      <c r="L42" s="194"/>
    </row>
    <row r="43" spans="1:12" ht="15" customHeight="1" x14ac:dyDescent="0.3">
      <c r="A43" s="194"/>
      <c r="B43" s="610"/>
      <c r="C43" s="610"/>
      <c r="D43" s="610"/>
      <c r="E43" s="610"/>
      <c r="F43" s="610"/>
      <c r="G43" s="610"/>
      <c r="H43" s="194"/>
      <c r="I43" s="194"/>
      <c r="J43" s="194"/>
      <c r="K43" s="194"/>
      <c r="L43" s="194"/>
    </row>
    <row r="44" spans="1:12" ht="15" customHeight="1" x14ac:dyDescent="0.3">
      <c r="A44" s="194"/>
      <c r="B44" s="610"/>
      <c r="C44" s="610"/>
      <c r="D44" s="610"/>
      <c r="E44" s="610"/>
      <c r="F44" s="610"/>
      <c r="G44" s="610"/>
      <c r="H44" s="194"/>
      <c r="I44" s="194"/>
      <c r="J44" s="194"/>
      <c r="K44" s="194"/>
      <c r="L44" s="194"/>
    </row>
    <row r="45" spans="1:12" ht="20.100000000000001" customHeight="1" x14ac:dyDescent="0.3">
      <c r="B45" s="179" t="s">
        <v>258</v>
      </c>
      <c r="C45" s="179" t="s">
        <v>259</v>
      </c>
      <c r="D45" s="179" t="s">
        <v>260</v>
      </c>
      <c r="E45" s="179" t="s">
        <v>261</v>
      </c>
      <c r="F45" s="179" t="s">
        <v>262</v>
      </c>
      <c r="G45" s="302" t="s">
        <v>263</v>
      </c>
    </row>
    <row r="46" spans="1:12" ht="20.100000000000001" customHeight="1" x14ac:dyDescent="0.35">
      <c r="B46" s="177" t="s">
        <v>264</v>
      </c>
      <c r="C46" s="176">
        <v>40</v>
      </c>
      <c r="D46" s="175">
        <v>350</v>
      </c>
      <c r="E46" s="174">
        <v>7841.82</v>
      </c>
      <c r="F46" s="178">
        <f>Tabela2[[#This Row],[Quantidade horas]]*Tabela2[[#This Row],[Valor da hora trabalhada]]</f>
        <v>14000</v>
      </c>
      <c r="G46" s="172">
        <f>IFERROR(Tabela2[[#This Row],[Lucro estimado por serviço]]/Tabela2[[#This Row],[Preço de custo]],"")</f>
        <v>0.56013000000000002</v>
      </c>
    </row>
    <row r="47" spans="1:12" ht="20.100000000000001" customHeight="1" x14ac:dyDescent="0.35">
      <c r="B47" s="177" t="s">
        <v>265</v>
      </c>
      <c r="C47" s="176">
        <v>38</v>
      </c>
      <c r="D47" s="175">
        <v>350</v>
      </c>
      <c r="E47" s="174">
        <v>6481.26</v>
      </c>
      <c r="F47" s="173">
        <f>Tabela2[[#This Row],[Quantidade horas]]*Tabela2[[#This Row],[Valor da hora trabalhada]]</f>
        <v>13300</v>
      </c>
      <c r="G47" s="172">
        <f>IFERROR(Tabela2[[#This Row],[Lucro estimado por serviço]]/Tabela2[[#This Row],[Preço de custo]],"")</f>
        <v>0.48731278195488725</v>
      </c>
    </row>
    <row r="48" spans="1:12" ht="20.100000000000001" customHeight="1" x14ac:dyDescent="0.35">
      <c r="B48" s="177" t="s">
        <v>266</v>
      </c>
      <c r="C48" s="176">
        <v>38</v>
      </c>
      <c r="D48" s="175">
        <v>350</v>
      </c>
      <c r="E48" s="174">
        <v>6481.26</v>
      </c>
      <c r="F48" s="173">
        <f>Tabela2[[#This Row],[Quantidade horas]]*Tabela2[[#This Row],[Valor da hora trabalhada]]</f>
        <v>13300</v>
      </c>
      <c r="G48" s="172">
        <f>IFERROR(Tabela2[[#This Row],[Lucro estimado por serviço]]/Tabela2[[#This Row],[Preço de custo]],"")</f>
        <v>0.48731278195488725</v>
      </c>
    </row>
    <row r="49" spans="2:7" ht="20.100000000000001" customHeight="1" x14ac:dyDescent="0.35">
      <c r="B49" s="177" t="s">
        <v>267</v>
      </c>
      <c r="C49" s="176">
        <v>46</v>
      </c>
      <c r="D49" s="175">
        <v>350</v>
      </c>
      <c r="E49" s="174">
        <v>7845.74</v>
      </c>
      <c r="F49" s="173">
        <f>Tabela2[[#This Row],[Quantidade horas]]*Tabela2[[#This Row],[Valor da hora trabalhada]]</f>
        <v>16100</v>
      </c>
      <c r="G49" s="172">
        <f>IFERROR(Tabela2[[#This Row],[Lucro estimado por serviço]]/Tabela2[[#This Row],[Preço de custo]],"")</f>
        <v>0.48731304347826088</v>
      </c>
    </row>
    <row r="50" spans="2:7" ht="20.100000000000001" customHeight="1" x14ac:dyDescent="0.35">
      <c r="B50" s="177" t="s">
        <v>268</v>
      </c>
      <c r="C50" s="176">
        <v>44</v>
      </c>
      <c r="D50" s="175">
        <v>350</v>
      </c>
      <c r="E50" s="174">
        <v>7504.62</v>
      </c>
      <c r="F50" s="173">
        <f>Tabela2[[#This Row],[Quantidade horas]]*Tabela2[[#This Row],[Valor da hora trabalhada]]</f>
        <v>15400</v>
      </c>
      <c r="G50" s="172">
        <f>IFERROR(Tabela2[[#This Row],[Lucro estimado por serviço]]/Tabela2[[#This Row],[Preço de custo]],"")</f>
        <v>0.48731298701298703</v>
      </c>
    </row>
    <row r="51" spans="2:7" ht="20.100000000000001" customHeight="1" x14ac:dyDescent="0.35">
      <c r="B51" s="177" t="s">
        <v>269</v>
      </c>
      <c r="C51" s="176">
        <v>44</v>
      </c>
      <c r="D51" s="175">
        <v>350</v>
      </c>
      <c r="E51" s="174">
        <v>7504.62</v>
      </c>
      <c r="F51" s="173">
        <f>Tabela2[[#This Row],[Quantidade horas]]*Tabela2[[#This Row],[Valor da hora trabalhada]]</f>
        <v>15400</v>
      </c>
      <c r="G51" s="172">
        <f>IFERROR(Tabela2[[#This Row],[Lucro estimado por serviço]]/Tabela2[[#This Row],[Preço de custo]],"")</f>
        <v>0.48731298701298703</v>
      </c>
    </row>
    <row r="52" spans="2:7" ht="20.100000000000001" customHeight="1" x14ac:dyDescent="0.35">
      <c r="B52" s="177" t="s">
        <v>270</v>
      </c>
      <c r="C52" s="176">
        <v>32</v>
      </c>
      <c r="D52" s="175">
        <v>350</v>
      </c>
      <c r="E52" s="174">
        <v>5457.91</v>
      </c>
      <c r="F52" s="173">
        <f>Tabela2[[#This Row],[Quantidade horas]]*Tabela2[[#This Row],[Valor da hora trabalhada]]</f>
        <v>11200</v>
      </c>
      <c r="G52" s="172">
        <f>IFERROR(Tabela2[[#This Row],[Lucro estimado por serviço]]/Tabela2[[#This Row],[Preço de custo]],"")</f>
        <v>0.48731339285714287</v>
      </c>
    </row>
    <row r="53" spans="2:7" ht="20.100000000000001" customHeight="1" x14ac:dyDescent="0.35">
      <c r="B53" s="177" t="s">
        <v>271</v>
      </c>
      <c r="C53" s="176">
        <v>30</v>
      </c>
      <c r="D53" s="175">
        <v>350</v>
      </c>
      <c r="E53" s="174">
        <v>5116.79</v>
      </c>
      <c r="F53" s="173">
        <f>Tabela2[[#This Row],[Quantidade horas]]*Tabela2[[#This Row],[Valor da hora trabalhada]]</f>
        <v>10500</v>
      </c>
      <c r="G53" s="172">
        <f>IFERROR(Tabela2[[#This Row],[Lucro estimado por serviço]]/Tabela2[[#This Row],[Preço de custo]],"")</f>
        <v>0.48731333333333332</v>
      </c>
    </row>
    <row r="54" spans="2:7" ht="20.100000000000001" customHeight="1" x14ac:dyDescent="0.35">
      <c r="B54" s="177" t="s">
        <v>272</v>
      </c>
      <c r="C54" s="176">
        <v>30</v>
      </c>
      <c r="D54" s="175">
        <v>350</v>
      </c>
      <c r="E54" s="174">
        <v>5116.79</v>
      </c>
      <c r="F54" s="173">
        <f>Tabela2[[#This Row],[Quantidade horas]]*Tabela2[[#This Row],[Valor da hora trabalhada]]</f>
        <v>10500</v>
      </c>
      <c r="G54" s="172">
        <f>IFERROR(Tabela2[[#This Row],[Lucro estimado por serviço]]/Tabela2[[#This Row],[Preço de custo]],"")</f>
        <v>0.48731333333333332</v>
      </c>
    </row>
    <row r="55" spans="2:7" ht="20.100000000000001" customHeight="1" x14ac:dyDescent="0.35">
      <c r="B55" s="177" t="s">
        <v>273</v>
      </c>
      <c r="C55" s="176">
        <v>10</v>
      </c>
      <c r="D55" s="175">
        <v>350</v>
      </c>
      <c r="E55" s="174">
        <v>1705.6</v>
      </c>
      <c r="F55" s="173">
        <f>Tabela2[[#This Row],[Quantidade horas]]*Tabela2[[#This Row],[Valor da hora trabalhada]]</f>
        <v>3500</v>
      </c>
      <c r="G55" s="172">
        <f>IFERROR(Tabela2[[#This Row],[Lucro estimado por serviço]]/Tabela2[[#This Row],[Preço de custo]],"")</f>
        <v>0.4873142857142857</v>
      </c>
    </row>
    <row r="56" spans="2:7" ht="20.100000000000001" customHeight="1" x14ac:dyDescent="0.35">
      <c r="B56" s="177" t="s">
        <v>274</v>
      </c>
      <c r="C56" s="176">
        <v>10</v>
      </c>
      <c r="D56" s="175">
        <v>350</v>
      </c>
      <c r="E56" s="174">
        <v>1705.6</v>
      </c>
      <c r="F56" s="173">
        <f>Tabela2[[#This Row],[Quantidade horas]]*Tabela2[[#This Row],[Valor da hora trabalhada]]</f>
        <v>3500</v>
      </c>
      <c r="G56" s="172">
        <f>IFERROR(Tabela2[[#This Row],[Lucro estimado por serviço]]/Tabela2[[#This Row],[Preço de custo]],"")</f>
        <v>0.4873142857142857</v>
      </c>
    </row>
    <row r="57" spans="2:7" ht="20.100000000000001" customHeight="1" x14ac:dyDescent="0.35">
      <c r="B57" s="177" t="s">
        <v>275</v>
      </c>
      <c r="C57" s="176">
        <v>14</v>
      </c>
      <c r="D57" s="175">
        <v>350</v>
      </c>
      <c r="E57" s="174">
        <v>2387.83</v>
      </c>
      <c r="F57" s="173">
        <f>Tabela2[[#This Row],[Quantidade horas]]*Tabela2[[#This Row],[Valor da hora trabalhada]]</f>
        <v>4900</v>
      </c>
      <c r="G57" s="172">
        <f>IFERROR(Tabela2[[#This Row],[Lucro estimado por serviço]]/Tabela2[[#This Row],[Preço de custo]],"")</f>
        <v>0.48731224489795916</v>
      </c>
    </row>
    <row r="58" spans="2:7" ht="20.100000000000001" customHeight="1" x14ac:dyDescent="0.35">
      <c r="B58" s="177" t="s">
        <v>276</v>
      </c>
      <c r="C58" s="176">
        <v>2551</v>
      </c>
      <c r="D58" s="175">
        <v>350</v>
      </c>
      <c r="E58" s="174">
        <v>3240.63</v>
      </c>
      <c r="F58" s="173">
        <f>Tabela2[[#This Row],[Quantidade horas]]*Tabela2[[#This Row],[Valor da hora trabalhada]]</f>
        <v>892850</v>
      </c>
      <c r="G58" s="172">
        <f>IFERROR(Tabela2[[#This Row],[Lucro estimado por serviço]]/Tabela2[[#This Row],[Preço de custo]],"")</f>
        <v>3.6295346362770903E-3</v>
      </c>
    </row>
    <row r="59" spans="2:7" ht="20.100000000000001" customHeight="1" x14ac:dyDescent="0.35">
      <c r="B59" s="177" t="s">
        <v>277</v>
      </c>
      <c r="C59" s="176">
        <v>1000</v>
      </c>
      <c r="D59" s="175">
        <v>350</v>
      </c>
      <c r="E59" s="174">
        <v>160.66999999999999</v>
      </c>
      <c r="F59" s="173">
        <f>Tabela2[[#This Row],[Quantidade horas]]*Tabela2[[#This Row],[Valor da hora trabalhada]]</f>
        <v>350000</v>
      </c>
      <c r="G59" s="172">
        <f>IFERROR(Tabela2[[#This Row],[Lucro estimado por serviço]]/Tabela2[[#This Row],[Preço de custo]],"")</f>
        <v>4.590571428571428E-4</v>
      </c>
    </row>
    <row r="60" spans="2:7" ht="20.100000000000001" customHeight="1" x14ac:dyDescent="0.35">
      <c r="B60" s="177" t="s">
        <v>278</v>
      </c>
      <c r="C60" s="176">
        <v>10</v>
      </c>
      <c r="D60" s="175">
        <v>350</v>
      </c>
      <c r="E60" s="174">
        <v>1600.31</v>
      </c>
      <c r="F60" s="173">
        <f>Tabela2[[#This Row],[Quantidade horas]]*Tabela2[[#This Row],[Valor da hora trabalhada]]</f>
        <v>3500</v>
      </c>
      <c r="G60" s="172">
        <f>IFERROR(Tabela2[[#This Row],[Lucro estimado por serviço]]/Tabela2[[#This Row],[Preço de custo]],"")</f>
        <v>0.45723142857142857</v>
      </c>
    </row>
    <row r="61" spans="2:7" ht="20.100000000000001" customHeight="1" x14ac:dyDescent="0.35">
      <c r="B61" s="177" t="s">
        <v>279</v>
      </c>
      <c r="C61" s="176">
        <v>3</v>
      </c>
      <c r="D61" s="175">
        <v>350</v>
      </c>
      <c r="E61" s="174">
        <v>480.09</v>
      </c>
      <c r="F61" s="173">
        <f>Tabela2[[#This Row],[Quantidade horas]]*Tabela2[[#This Row],[Valor da hora trabalhada]]</f>
        <v>1050</v>
      </c>
      <c r="G61" s="172">
        <f>IFERROR(Tabela2[[#This Row],[Lucro estimado por serviço]]/Tabela2[[#This Row],[Preço de custo]],"")</f>
        <v>0.45722857142857143</v>
      </c>
    </row>
    <row r="62" spans="2:7" ht="20.100000000000001" customHeight="1" x14ac:dyDescent="0.35">
      <c r="B62" s="177" t="s">
        <v>280</v>
      </c>
      <c r="C62" s="176">
        <v>12</v>
      </c>
      <c r="D62" s="175">
        <v>350</v>
      </c>
      <c r="E62" s="174">
        <v>1928.08</v>
      </c>
      <c r="F62" s="173">
        <f>Tabela2[[#This Row],[Quantidade horas]]*Tabela2[[#This Row],[Valor da hora trabalhada]]</f>
        <v>4200</v>
      </c>
      <c r="G62" s="172">
        <f>IFERROR(Tabela2[[#This Row],[Lucro estimado por serviço]]/Tabela2[[#This Row],[Preço de custo]],"")</f>
        <v>0.45906666666666662</v>
      </c>
    </row>
    <row r="63" spans="2:7" ht="20.100000000000001" customHeight="1" x14ac:dyDescent="0.35">
      <c r="B63" s="177" t="s">
        <v>281</v>
      </c>
      <c r="C63" s="176">
        <v>15</v>
      </c>
      <c r="D63" s="175">
        <v>350</v>
      </c>
      <c r="E63" s="174">
        <v>2410.1</v>
      </c>
      <c r="F63" s="173">
        <f>Tabela2[[#This Row],[Quantidade horas]]*Tabela2[[#This Row],[Valor da hora trabalhada]]</f>
        <v>5250</v>
      </c>
      <c r="G63" s="172">
        <f>IFERROR(Tabela2[[#This Row],[Lucro estimado por serviço]]/Tabela2[[#This Row],[Preço de custo]],"")</f>
        <v>0.45906666666666662</v>
      </c>
    </row>
    <row r="64" spans="2:7" ht="20.100000000000001" customHeight="1" x14ac:dyDescent="0.35">
      <c r="B64" s="177" t="s">
        <v>282</v>
      </c>
      <c r="C64" s="176">
        <v>26</v>
      </c>
      <c r="D64" s="175">
        <v>350</v>
      </c>
      <c r="E64" s="174">
        <v>9100</v>
      </c>
      <c r="F64" s="173">
        <f>Tabela2[[#This Row],[Quantidade horas]]*Tabela2[[#This Row],[Valor da hora trabalhada]]</f>
        <v>9100</v>
      </c>
      <c r="G64" s="172">
        <f>IFERROR(Tabela2[[#This Row],[Lucro estimado por serviço]]/Tabela2[[#This Row],[Preço de custo]],"")</f>
        <v>1</v>
      </c>
    </row>
    <row r="65" spans="2:7" ht="20.100000000000001" customHeight="1" x14ac:dyDescent="0.35">
      <c r="B65" s="177" t="s">
        <v>283</v>
      </c>
      <c r="C65" s="176">
        <v>3</v>
      </c>
      <c r="D65" s="175">
        <v>350</v>
      </c>
      <c r="E65" s="174">
        <v>482.02</v>
      </c>
      <c r="F65" s="173">
        <f>Tabela2[[#This Row],[Quantidade horas]]*Tabela2[[#This Row],[Valor da hora trabalhada]]</f>
        <v>1050</v>
      </c>
      <c r="G65" s="172">
        <f>IFERROR(Tabela2[[#This Row],[Lucro estimado por serviço]]/Tabela2[[#This Row],[Preço de custo]],"")</f>
        <v>0.45906666666666662</v>
      </c>
    </row>
    <row r="66" spans="2:7" ht="20.100000000000001" customHeight="1" x14ac:dyDescent="0.35">
      <c r="B66" s="177" t="s">
        <v>284</v>
      </c>
      <c r="C66" s="176">
        <v>16</v>
      </c>
      <c r="D66" s="175">
        <v>350</v>
      </c>
      <c r="E66" s="174">
        <v>2570.77</v>
      </c>
      <c r="F66" s="173">
        <f>Tabela2[[#This Row],[Quantidade horas]]*Tabela2[[#This Row],[Valor da hora trabalhada]]</f>
        <v>5600</v>
      </c>
      <c r="G66" s="172">
        <f>IFERROR(Tabela2[[#This Row],[Lucro estimado por serviço]]/Tabela2[[#This Row],[Preço de custo]],"")</f>
        <v>0.45906607142857142</v>
      </c>
    </row>
    <row r="67" spans="2:7" ht="20.100000000000001" customHeight="1" x14ac:dyDescent="0.35">
      <c r="B67" s="177" t="s">
        <v>285</v>
      </c>
      <c r="C67" s="176">
        <v>16</v>
      </c>
      <c r="D67" s="175">
        <v>350</v>
      </c>
      <c r="E67" s="174">
        <v>2570.77</v>
      </c>
      <c r="F67" s="173">
        <f>Tabela2[[#This Row],[Quantidade horas]]*Tabela2[[#This Row],[Valor da hora trabalhada]]</f>
        <v>5600</v>
      </c>
      <c r="G67" s="172">
        <f>IFERROR(Tabela2[[#This Row],[Lucro estimado por serviço]]/Tabela2[[#This Row],[Preço de custo]],"")</f>
        <v>0.45906607142857142</v>
      </c>
    </row>
    <row r="68" spans="2:7" ht="20.100000000000001" customHeight="1" x14ac:dyDescent="0.35">
      <c r="B68" s="177"/>
      <c r="C68" s="176"/>
      <c r="D68" s="175"/>
      <c r="E68" s="174"/>
      <c r="F68" s="173">
        <f>Tabela2[[#This Row],[Quantidade horas]]*Tabela2[[#This Row],[Valor da hora trabalhada]]</f>
        <v>0</v>
      </c>
      <c r="G68" s="172" t="str">
        <f>IFERROR(Tabela2[[#This Row],[Lucro estimado por serviço]]/Tabela2[[#This Row],[Preço de custo]],"")</f>
        <v/>
      </c>
    </row>
    <row r="69" spans="2:7" ht="20.100000000000001" customHeight="1" x14ac:dyDescent="0.35">
      <c r="B69" s="177"/>
      <c r="C69" s="176"/>
      <c r="D69" s="175"/>
      <c r="E69" s="174"/>
      <c r="F69" s="173">
        <f>Tabela2[[#This Row],[Quantidade horas]]*Tabela2[[#This Row],[Valor da hora trabalhada]]</f>
        <v>0</v>
      </c>
      <c r="G69" s="172" t="str">
        <f>IFERROR(Tabela2[[#This Row],[Lucro estimado por serviço]]/Tabela2[[#This Row],[Preço de custo]],"")</f>
        <v/>
      </c>
    </row>
    <row r="70" spans="2:7" ht="20.100000000000001" customHeight="1" x14ac:dyDescent="0.35">
      <c r="B70" s="177"/>
      <c r="C70" s="176"/>
      <c r="D70" s="175"/>
      <c r="E70" s="174"/>
      <c r="F70" s="173">
        <f>Tabela2[[#This Row],[Quantidade horas]]*Tabela2[[#This Row],[Valor da hora trabalhada]]</f>
        <v>0</v>
      </c>
      <c r="G70" s="172" t="str">
        <f>IFERROR(Tabela2[[#This Row],[Lucro estimado por serviço]]/Tabela2[[#This Row],[Preço de custo]],"")</f>
        <v/>
      </c>
    </row>
    <row r="71" spans="2:7" ht="20.100000000000001" customHeight="1" x14ac:dyDescent="0.35">
      <c r="B71" s="177"/>
      <c r="C71" s="176"/>
      <c r="D71" s="175"/>
      <c r="E71" s="174"/>
      <c r="F71" s="173">
        <f>Tabela2[[#This Row],[Quantidade horas]]*Tabela2[[#This Row],[Valor da hora trabalhada]]</f>
        <v>0</v>
      </c>
      <c r="G71" s="172" t="str">
        <f>IFERROR(Tabela2[[#This Row],[Lucro estimado por serviço]]/Tabela2[[#This Row],[Preço de custo]],"")</f>
        <v/>
      </c>
    </row>
    <row r="72" spans="2:7" ht="20.100000000000001" customHeight="1" x14ac:dyDescent="0.35">
      <c r="B72" s="177"/>
      <c r="C72" s="176"/>
      <c r="D72" s="175"/>
      <c r="E72" s="174"/>
      <c r="F72" s="173">
        <f>Tabela2[[#This Row],[Quantidade horas]]*Tabela2[[#This Row],[Valor da hora trabalhada]]</f>
        <v>0</v>
      </c>
      <c r="G72" s="172" t="str">
        <f>IFERROR(Tabela2[[#This Row],[Lucro estimado por serviço]]/Tabela2[[#This Row],[Preço de custo]],"")</f>
        <v/>
      </c>
    </row>
    <row r="73" spans="2:7" ht="20.100000000000001" customHeight="1" x14ac:dyDescent="0.35">
      <c r="B73" s="177"/>
      <c r="C73" s="176"/>
      <c r="D73" s="175"/>
      <c r="E73" s="174"/>
      <c r="F73" s="173">
        <f>Tabela2[[#This Row],[Quantidade horas]]*Tabela2[[#This Row],[Valor da hora trabalhada]]</f>
        <v>0</v>
      </c>
      <c r="G73" s="172" t="str">
        <f>IFERROR(Tabela2[[#This Row],[Lucro estimado por serviço]]/Tabela2[[#This Row],[Preço de custo]],"")</f>
        <v/>
      </c>
    </row>
    <row r="74" spans="2:7" ht="20.100000000000001" customHeight="1" x14ac:dyDescent="0.35">
      <c r="B74" s="177"/>
      <c r="C74" s="176"/>
      <c r="D74" s="175"/>
      <c r="E74" s="174"/>
      <c r="F74" s="173">
        <f>Tabela2[[#This Row],[Quantidade horas]]*Tabela2[[#This Row],[Valor da hora trabalhada]]</f>
        <v>0</v>
      </c>
      <c r="G74" s="172" t="str">
        <f>IFERROR(Tabela2[[#This Row],[Lucro estimado por serviço]]/Tabela2[[#This Row],[Preço de custo]],"")</f>
        <v/>
      </c>
    </row>
    <row r="75" spans="2:7" ht="20.100000000000001" customHeight="1" x14ac:dyDescent="0.35">
      <c r="B75" s="177"/>
      <c r="C75" s="176"/>
      <c r="D75" s="175"/>
      <c r="E75" s="174"/>
      <c r="F75" s="173">
        <f>Tabela2[[#This Row],[Quantidade horas]]*Tabela2[[#This Row],[Valor da hora trabalhada]]</f>
        <v>0</v>
      </c>
      <c r="G75" s="172" t="str">
        <f>IFERROR(Tabela2[[#This Row],[Lucro estimado por serviço]]/Tabela2[[#This Row],[Preço de custo]],"")</f>
        <v/>
      </c>
    </row>
    <row r="76" spans="2:7" ht="20.100000000000001" customHeight="1" x14ac:dyDescent="0.35">
      <c r="B76" s="177"/>
      <c r="C76" s="176"/>
      <c r="D76" s="175"/>
      <c r="E76" s="174"/>
      <c r="F76" s="173">
        <f>Tabela2[[#This Row],[Quantidade horas]]*Tabela2[[#This Row],[Valor da hora trabalhada]]</f>
        <v>0</v>
      </c>
      <c r="G76" s="172" t="str">
        <f>IFERROR(Tabela2[[#This Row],[Lucro estimado por serviço]]/Tabela2[[#This Row],[Preço de custo]],"")</f>
        <v/>
      </c>
    </row>
    <row r="77" spans="2:7" ht="20.100000000000001" customHeight="1" x14ac:dyDescent="0.35">
      <c r="B77" s="177"/>
      <c r="C77" s="176"/>
      <c r="D77" s="175"/>
      <c r="E77" s="174"/>
      <c r="F77" s="173">
        <f>Tabela2[[#This Row],[Quantidade horas]]*Tabela2[[#This Row],[Valor da hora trabalhada]]</f>
        <v>0</v>
      </c>
      <c r="G77" s="172" t="str">
        <f>IFERROR(Tabela2[[#This Row],[Lucro estimado por serviço]]/Tabela2[[#This Row],[Preço de custo]],"")</f>
        <v/>
      </c>
    </row>
  </sheetData>
  <sheetProtection sheet="1" objects="1" scenarios="1" selectLockedCells="1"/>
  <mergeCells count="45">
    <mergeCell ref="H12:I12"/>
    <mergeCell ref="H13:I13"/>
    <mergeCell ref="H14:I14"/>
    <mergeCell ref="B41:G44"/>
    <mergeCell ref="B21:B22"/>
    <mergeCell ref="C21:C22"/>
    <mergeCell ref="D21:D22"/>
    <mergeCell ref="E15:E16"/>
    <mergeCell ref="D33:D34"/>
    <mergeCell ref="C25:C26"/>
    <mergeCell ref="D25:D26"/>
    <mergeCell ref="B37:B38"/>
    <mergeCell ref="C37:C38"/>
    <mergeCell ref="D37:D38"/>
    <mergeCell ref="B31:B32"/>
    <mergeCell ref="B35:B36"/>
    <mergeCell ref="C35:C36"/>
    <mergeCell ref="D35:D36"/>
    <mergeCell ref="B27:B28"/>
    <mergeCell ref="C31:C32"/>
    <mergeCell ref="D31:D32"/>
    <mergeCell ref="B33:B34"/>
    <mergeCell ref="C33:C34"/>
    <mergeCell ref="B25:B26"/>
    <mergeCell ref="C27:C28"/>
    <mergeCell ref="D29:D30"/>
    <mergeCell ref="D27:D28"/>
    <mergeCell ref="B29:B30"/>
    <mergeCell ref="C29:C30"/>
    <mergeCell ref="A10:K10"/>
    <mergeCell ref="B1:H5"/>
    <mergeCell ref="A18:K18"/>
    <mergeCell ref="B23:B24"/>
    <mergeCell ref="C23:C24"/>
    <mergeCell ref="F15:F16"/>
    <mergeCell ref="G15:G16"/>
    <mergeCell ref="A15:A16"/>
    <mergeCell ref="B15:C16"/>
    <mergeCell ref="D15:D16"/>
    <mergeCell ref="D23:D24"/>
    <mergeCell ref="B11:C11"/>
    <mergeCell ref="B12:C12"/>
    <mergeCell ref="B13:C13"/>
    <mergeCell ref="B14:C14"/>
    <mergeCell ref="H11:I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F1516F786356408347E5D6CCDF0570" ma:contentTypeVersion="14" ma:contentTypeDescription="Criar um novo documento." ma:contentTypeScope="" ma:versionID="7b3e498b6839d02369cc1d6ceb97441e">
  <xsd:schema xmlns:xsd="http://www.w3.org/2001/XMLSchema" xmlns:xs="http://www.w3.org/2001/XMLSchema" xmlns:p="http://schemas.microsoft.com/office/2006/metadata/properties" xmlns:ns2="49412001-d783-40f6-a9e2-ad6f689aae43" xmlns:ns3="3cf476e3-b461-4db5-bd62-89ad34500070" targetNamespace="http://schemas.microsoft.com/office/2006/metadata/properties" ma:root="true" ma:fieldsID="42eb436a727bde921fb22d341b53b27d" ns2:_="" ns3:_="">
    <xsd:import namespace="49412001-d783-40f6-a9e2-ad6f689aae43"/>
    <xsd:import namespace="3cf476e3-b461-4db5-bd62-89ad3450007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412001-d783-40f6-a9e2-ad6f689aae4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928ca6a-219c-46cd-98e1-d2a490ea2529}" ma:internalName="TaxCatchAll" ma:showField="CatchAllData" ma:web="49412001-d783-40f6-a9e2-ad6f689aae4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f476e3-b461-4db5-bd62-89ad345000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Estado da aprovação" ma:internalName="Estado_x0020_da_x0020_aprova_x00e7__x00e3_o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m" ma:readOnly="false" ma:fieldId="{5cf76f15-5ced-4ddc-b409-7134ff3c332f}" ma:taxonomyMulti="true" ma:sspId="2055b41d-3360-4488-a350-57f99230ad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3cf476e3-b461-4db5-bd62-89ad34500070" xsi:nil="true"/>
    <lcf76f155ced4ddcb4097134ff3c332f xmlns="3cf476e3-b461-4db5-bd62-89ad34500070">
      <Terms xmlns="http://schemas.microsoft.com/office/infopath/2007/PartnerControls"/>
    </lcf76f155ced4ddcb4097134ff3c332f>
    <TaxCatchAll xmlns="49412001-d783-40f6-a9e2-ad6f689aae43" xsi:nil="true"/>
  </documentManagement>
</p:properties>
</file>

<file path=customXml/itemProps1.xml><?xml version="1.0" encoding="utf-8"?>
<ds:datastoreItem xmlns:ds="http://schemas.openxmlformats.org/officeDocument/2006/customXml" ds:itemID="{AFA15E1D-4F96-4A24-BA4D-8C8510FE18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412001-d783-40f6-a9e2-ad6f689aae43"/>
    <ds:schemaRef ds:uri="3cf476e3-b461-4db5-bd62-89ad34500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B02CB1-77A0-4A87-AFB7-3B4416CFF9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E22C45-4FAB-4904-B115-4DABF6222B76}">
  <ds:schemaRefs>
    <ds:schemaRef ds:uri="http://schemas.microsoft.com/office/2006/metadata/properties"/>
    <ds:schemaRef ds:uri="http://schemas.microsoft.com/office/infopath/2007/PartnerControls"/>
    <ds:schemaRef ds:uri="3cf476e3-b461-4db5-bd62-89ad34500070"/>
    <ds:schemaRef ds:uri="49412001-d783-40f6-a9e2-ad6f689aae4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6</vt:i4>
      </vt:variant>
    </vt:vector>
  </HeadingPairs>
  <TitlesOfParts>
    <vt:vector size="17" baseType="lpstr">
      <vt:lpstr>RESUMO DE PREÇOS</vt:lpstr>
      <vt:lpstr>Serviço revenda VAD 1</vt:lpstr>
      <vt:lpstr>Serviço revenda VAD 2</vt:lpstr>
      <vt:lpstr>Licença 1</vt:lpstr>
      <vt:lpstr>Licença 2</vt:lpstr>
      <vt:lpstr>Produto 1</vt:lpstr>
      <vt:lpstr>Produto 2</vt:lpstr>
      <vt:lpstr>Serviços Accerte</vt:lpstr>
      <vt:lpstr>ANÁLISE FINANCEIRA FINAL</vt:lpstr>
      <vt:lpstr>Dados</vt:lpstr>
      <vt:lpstr>Formação de preços </vt:lpstr>
      <vt:lpstr>'Serviços Accerte'!Area_de_impressao</vt:lpstr>
      <vt:lpstr>'Licença 2'!Lista</vt:lpstr>
      <vt:lpstr>'Produto 2'!Lista</vt:lpstr>
      <vt:lpstr>'RESUMO DE PREÇOS'!Lista</vt:lpstr>
      <vt:lpstr>'Serviço revenda VAD 2'!Lista</vt:lpstr>
      <vt:lpstr>Lista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donizete</dc:creator>
  <cp:keywords/>
  <dc:description/>
  <cp:lastModifiedBy>Leonardo Santos</cp:lastModifiedBy>
  <cp:revision/>
  <dcterms:created xsi:type="dcterms:W3CDTF">2015-01-08T18:17:37Z</dcterms:created>
  <dcterms:modified xsi:type="dcterms:W3CDTF">2023-09-25T17:28:55Z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0x0101008EF1516F786356408347E5D6CCDF0570</vt:lpwstr>
  </property>
  <property fmtid="{D5CDD505-2E9C-101B-9397-08002B2CF9AE}" pid="3" name="MediaServiceImageTags">
    <vt:lpwstr/>
  </property>
</Properties>
</file>